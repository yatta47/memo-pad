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サマリ" sheetId="1" state="visible" r:id="rId3"/>
    <sheet name="前提" sheetId="2" state="visible" r:id="rId4"/>
    <sheet name="開発費_月別" sheetId="3" state="visible" r:id="rId5"/>
    <sheet name="運用費_AWS_月別" sheetId="4" state="visible" r:id="rId6"/>
    <sheet name="運用費_GCP_月別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<sst xmlns="http://schemas.openxmlformats.org/spreadsheetml/2006/main" count="447" uniqueCount="266">
  <si>
    <r>
      <rPr>
        <b val="true"/>
        <sz val="13"/>
        <color rgb="FF000000"/>
        <rFont val="Arial"/>
        <family val="0"/>
        <charset val="1"/>
      </rPr>
      <t xml:space="preserve">Change Intelligence </t>
    </r>
    <r>
      <rPr>
        <b val="true"/>
        <sz val="13"/>
        <color rgb="FF000000"/>
        <rFont val="Calibri"/>
        <family val="2"/>
        <charset val="1"/>
      </rPr>
      <t xml:space="preserve">本番化 費用サマリ（円）</t>
    </r>
  </si>
  <si>
    <t xml:space="preserve">すべて他シートの数式参照。前提シートの黄色セルを変えると更新されます。</t>
  </si>
  <si>
    <t xml:space="preserve">A. AWS + AuraDB</t>
  </si>
  <si>
    <t xml:space="preserve">B. AWS + Neptune</t>
  </si>
  <si>
    <t xml:space="preserve">C. GCP + AuraDB</t>
  </si>
  <si>
    <t xml:space="preserve">D. GCP + Spanner Graph</t>
  </si>
  <si>
    <t xml:space="preserve">備考</t>
  </si>
  <si>
    <r>
      <rPr>
        <sz val="10"/>
        <color rgb="FF000000"/>
        <rFont val="Calibri"/>
        <family val="2"/>
        <charset val="1"/>
      </rPr>
      <t xml:space="preserve">開発費（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Calibri"/>
        <family val="2"/>
        <charset val="1"/>
      </rPr>
      <t xml:space="preserve">か月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Calibri"/>
        <family val="2"/>
        <charset val="1"/>
      </rPr>
      <t xml:space="preserve">人件費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Calibri"/>
        <family val="2"/>
        <charset val="1"/>
      </rPr>
      <t xml:space="preserve">クラウド等）</t>
    </r>
  </si>
  <si>
    <r>
      <rPr>
        <sz val="10"/>
        <color rgb="FF5B6577"/>
        <rFont val="Calibri"/>
        <family val="2"/>
        <charset val="1"/>
      </rPr>
      <t xml:space="preserve">開発費</t>
    </r>
    <r>
      <rPr>
        <sz val="10"/>
        <color rgb="FF5B6577"/>
        <rFont val="Arial"/>
        <family val="0"/>
        <charset val="1"/>
      </rPr>
      <t xml:space="preserve">_</t>
    </r>
    <r>
      <rPr>
        <sz val="10"/>
        <color rgb="FF5B6577"/>
        <rFont val="Calibri"/>
        <family val="2"/>
        <charset val="1"/>
      </rPr>
      <t xml:space="preserve">月別 シナリオ別合計</t>
    </r>
  </si>
  <si>
    <t xml:space="preserve">開発費 予備費込み（推奨予算）</t>
  </si>
  <si>
    <r>
      <rPr>
        <sz val="10"/>
        <color rgb="FF5B6577"/>
        <rFont val="Calibri"/>
        <family val="2"/>
        <charset val="1"/>
      </rPr>
      <t xml:space="preserve">予備費率は開発費</t>
    </r>
    <r>
      <rPr>
        <sz val="10"/>
        <color rgb="FF5B6577"/>
        <rFont val="Arial"/>
        <family val="0"/>
        <charset val="1"/>
      </rPr>
      <t xml:space="preserve">_</t>
    </r>
    <r>
      <rPr>
        <sz val="10"/>
        <color rgb="FF5B6577"/>
        <rFont val="Calibri"/>
        <family val="2"/>
        <charset val="1"/>
      </rPr>
      <t xml:space="preserve">月別で変更可</t>
    </r>
  </si>
  <si>
    <r>
      <rPr>
        <sz val="10"/>
        <color rgb="FF000000"/>
        <rFont val="Calibri"/>
        <family val="2"/>
        <charset val="1"/>
      </rPr>
      <t xml:space="preserve">クラウド運用費 年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Calibri"/>
        <family val="2"/>
        <charset val="1"/>
      </rPr>
      <t xml:space="preserve">（小規模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Calibri"/>
        <family val="2"/>
        <charset val="1"/>
      </rPr>
      <t xml:space="preserve">本番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Calibri"/>
        <family val="2"/>
        <charset val="1"/>
      </rPr>
      <t xml:space="preserve">ステージング）</t>
    </r>
  </si>
  <si>
    <r>
      <rPr>
        <sz val="10"/>
        <color rgb="FF5B6577"/>
        <rFont val="Arial"/>
        <family val="0"/>
        <charset val="1"/>
      </rPr>
      <t xml:space="preserve">B</t>
    </r>
    <r>
      <rPr>
        <sz val="10"/>
        <color rgb="FF5B6577"/>
        <rFont val="Calibri"/>
        <family val="2"/>
        <charset val="1"/>
      </rPr>
      <t xml:space="preserve">・</t>
    </r>
    <r>
      <rPr>
        <sz val="10"/>
        <color rgb="FF5B6577"/>
        <rFont val="Arial"/>
        <family val="0"/>
        <charset val="1"/>
      </rPr>
      <t xml:space="preserve">D </t>
    </r>
    <r>
      <rPr>
        <sz val="10"/>
        <color rgb="FF5B6577"/>
        <rFont val="Calibri"/>
        <family val="2"/>
        <charset val="1"/>
      </rPr>
      <t xml:space="preserve">は </t>
    </r>
    <r>
      <rPr>
        <sz val="10"/>
        <color rgb="FF5B6577"/>
        <rFont val="Arial"/>
        <family val="0"/>
        <charset val="1"/>
      </rPr>
      <t xml:space="preserve">Aura </t>
    </r>
    <r>
      <rPr>
        <sz val="10"/>
        <color rgb="FF5B6577"/>
        <rFont val="Calibri"/>
        <family val="2"/>
        <charset val="1"/>
      </rPr>
      <t xml:space="preserve">行を代替 </t>
    </r>
    <r>
      <rPr>
        <sz val="10"/>
        <color rgb="FF5B6577"/>
        <rFont val="Arial"/>
        <family val="0"/>
        <charset val="1"/>
      </rPr>
      <t xml:space="preserve">DB </t>
    </r>
    <r>
      <rPr>
        <sz val="10"/>
        <color rgb="FF5B6577"/>
        <rFont val="Calibri"/>
        <family val="2"/>
        <charset val="1"/>
      </rPr>
      <t xml:space="preserve">に読み替え（差額は前提の単価から試算</t>
    </r>
    <r>
      <rPr>
        <sz val="10"/>
        <color rgb="FF5B6577"/>
        <rFont val="Arial"/>
        <family val="0"/>
        <charset val="1"/>
      </rPr>
      <t xml:space="preserve">: Neptune ≒ </t>
    </r>
    <r>
      <rPr>
        <sz val="10"/>
        <color rgb="FF5B6577"/>
        <rFont val="Calibri"/>
        <family val="2"/>
        <charset val="1"/>
      </rPr>
      <t xml:space="preserve">同等</t>
    </r>
    <r>
      <rPr>
        <sz val="10"/>
        <color rgb="FF5B6577"/>
        <rFont val="Arial"/>
        <family val="0"/>
        <charset val="1"/>
      </rPr>
      <t xml:space="preserve">, Spanner ≒ −$100/</t>
    </r>
    <r>
      <rPr>
        <sz val="10"/>
        <color rgb="FF5B6577"/>
        <rFont val="Calibri"/>
        <family val="2"/>
        <charset val="1"/>
      </rPr>
      <t xml:space="preserve">月）</t>
    </r>
  </si>
  <si>
    <r>
      <rPr>
        <sz val="10"/>
        <color rgb="FF000000"/>
        <rFont val="Calibri"/>
        <family val="2"/>
        <charset val="1"/>
      </rPr>
      <t xml:space="preserve">クラウド運用費 年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Calibri"/>
        <family val="2"/>
        <charset val="1"/>
      </rPr>
      <t xml:space="preserve">（中規模）</t>
    </r>
  </si>
  <si>
    <r>
      <rPr>
        <sz val="10"/>
        <color rgb="FF000000"/>
        <rFont val="Calibri"/>
        <family val="2"/>
        <charset val="1"/>
      </rPr>
      <t xml:space="preserve">クラウド運用費 年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Calibri"/>
        <family val="2"/>
        <charset val="1"/>
      </rPr>
      <t xml:space="preserve">（中規模）</t>
    </r>
  </si>
  <si>
    <r>
      <rPr>
        <sz val="10"/>
        <color rgb="FF000000"/>
        <rFont val="Calibri"/>
        <family val="2"/>
        <charset val="1"/>
      </rPr>
      <t xml:space="preserve">保守・運用 人件費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Calibri"/>
        <family val="2"/>
        <charset val="1"/>
      </rPr>
      <t xml:space="preserve">年</t>
    </r>
  </si>
  <si>
    <r>
      <rPr>
        <sz val="10"/>
        <color rgb="FF5B6577"/>
        <rFont val="Arial"/>
        <family val="0"/>
        <charset val="1"/>
      </rPr>
      <t xml:space="preserve">0.7 </t>
    </r>
    <r>
      <rPr>
        <sz val="10"/>
        <color rgb="FF5B6577"/>
        <rFont val="Calibri"/>
        <family val="2"/>
        <charset val="1"/>
      </rPr>
      <t xml:space="preserve">人月</t>
    </r>
    <r>
      <rPr>
        <sz val="10"/>
        <color rgb="FF5B6577"/>
        <rFont val="Arial"/>
        <family val="0"/>
        <charset val="1"/>
      </rPr>
      <t xml:space="preserve">/</t>
    </r>
    <r>
      <rPr>
        <sz val="10"/>
        <color rgb="FF5B6577"/>
        <rFont val="Calibri"/>
        <family val="2"/>
        <charset val="1"/>
      </rPr>
      <t xml:space="preserve">月 </t>
    </r>
    <r>
      <rPr>
        <sz val="10"/>
        <color rgb="FF5B6577"/>
        <rFont val="Arial"/>
        <family val="0"/>
        <charset val="1"/>
      </rPr>
      <t xml:space="preserve">× 36 </t>
    </r>
    <r>
      <rPr>
        <sz val="10"/>
        <color rgb="FF5B6577"/>
        <rFont val="Calibri"/>
        <family val="2"/>
        <charset val="1"/>
      </rPr>
      <t xml:space="preserve">か月。</t>
    </r>
    <r>
      <rPr>
        <sz val="10"/>
        <color rgb="FF5B6577"/>
        <rFont val="Arial"/>
        <family val="0"/>
        <charset val="1"/>
      </rPr>
      <t xml:space="preserve">AI </t>
    </r>
    <r>
      <rPr>
        <sz val="10"/>
        <color rgb="FF5B6577"/>
        <rFont val="Calibri"/>
        <family val="2"/>
        <charset val="1"/>
      </rPr>
      <t xml:space="preserve">活用で削減を狙う部分</t>
    </r>
  </si>
  <si>
    <r>
      <rPr>
        <b val="true"/>
        <sz val="11"/>
        <color rgb="FF000000"/>
        <rFont val="Arial"/>
        <family val="0"/>
        <charset val="1"/>
      </rPr>
      <t xml:space="preserve">3 </t>
    </r>
    <r>
      <rPr>
        <b val="true"/>
        <sz val="11"/>
        <color rgb="FF000000"/>
        <rFont val="Calibri"/>
        <family val="2"/>
        <charset val="1"/>
      </rPr>
      <t xml:space="preserve">年 </t>
    </r>
    <r>
      <rPr>
        <b val="true"/>
        <sz val="11"/>
        <color rgb="FF000000"/>
        <rFont val="Arial"/>
        <family val="0"/>
        <charset val="1"/>
      </rPr>
      <t xml:space="preserve">TCO</t>
    </r>
    <r>
      <rPr>
        <b val="true"/>
        <sz val="11"/>
        <color rgb="FF000000"/>
        <rFont val="Calibri"/>
        <family val="2"/>
        <charset val="1"/>
      </rPr>
      <t xml:space="preserve">（開発 </t>
    </r>
    <r>
      <rPr>
        <b val="true"/>
        <sz val="11"/>
        <color rgb="FF000000"/>
        <rFont val="Arial"/>
        <family val="0"/>
        <charset val="1"/>
      </rPr>
      <t xml:space="preserve">+ </t>
    </r>
    <r>
      <rPr>
        <b val="true"/>
        <sz val="11"/>
        <color rgb="FF000000"/>
        <rFont val="Calibri"/>
        <family val="2"/>
        <charset val="1"/>
      </rPr>
      <t xml:space="preserve">クラウド </t>
    </r>
    <r>
      <rPr>
        <b val="true"/>
        <sz val="11"/>
        <color rgb="FF000000"/>
        <rFont val="Arial"/>
        <family val="0"/>
        <charset val="1"/>
      </rPr>
      <t xml:space="preserve">3 </t>
    </r>
    <r>
      <rPr>
        <b val="true"/>
        <sz val="11"/>
        <color rgb="FF000000"/>
        <rFont val="Calibri"/>
        <family val="2"/>
        <charset val="1"/>
      </rPr>
      <t xml:space="preserve">年 </t>
    </r>
    <r>
      <rPr>
        <b val="true"/>
        <sz val="11"/>
        <color rgb="FF000000"/>
        <rFont val="Arial"/>
        <family val="0"/>
        <charset val="1"/>
      </rPr>
      <t xml:space="preserve">+ </t>
    </r>
    <r>
      <rPr>
        <b val="true"/>
        <sz val="11"/>
        <color rgb="FF000000"/>
        <rFont val="Calibri"/>
        <family val="2"/>
        <charset val="1"/>
      </rPr>
      <t xml:space="preserve">人件費 </t>
    </r>
    <r>
      <rPr>
        <b val="true"/>
        <sz val="11"/>
        <color rgb="FF000000"/>
        <rFont val="Arial"/>
        <family val="0"/>
        <charset val="1"/>
      </rPr>
      <t xml:space="preserve">3 </t>
    </r>
    <r>
      <rPr>
        <b val="true"/>
        <sz val="11"/>
        <color rgb="FF000000"/>
        <rFont val="Calibri"/>
        <family val="2"/>
        <charset val="1"/>
      </rPr>
      <t xml:space="preserve">年）</t>
    </r>
  </si>
  <si>
    <t xml:space="preserve">予備費は含まない</t>
  </si>
  <si>
    <r>
      <rPr>
        <b val="true"/>
        <sz val="11"/>
        <color rgb="FF000000"/>
        <rFont val="Calibri"/>
        <family val="2"/>
        <charset val="1"/>
      </rPr>
      <t xml:space="preserve">月額の目安（小規模 </t>
    </r>
    <r>
      <rPr>
        <b val="true"/>
        <sz val="11"/>
        <color rgb="FF000000"/>
        <rFont val="Arial"/>
        <family val="0"/>
        <charset val="1"/>
      </rPr>
      <t xml:space="preserve">= 1 </t>
    </r>
    <r>
      <rPr>
        <b val="true"/>
        <sz val="11"/>
        <color rgb="FF000000"/>
        <rFont val="Calibri"/>
        <family val="2"/>
        <charset val="1"/>
      </rPr>
      <t xml:space="preserve">か月目 </t>
    </r>
    <r>
      <rPr>
        <b val="true"/>
        <sz val="11"/>
        <color rgb="FF000000"/>
        <rFont val="Arial"/>
        <family val="0"/>
        <charset val="1"/>
      </rPr>
      <t xml:space="preserve">/ </t>
    </r>
    <r>
      <rPr>
        <b val="true"/>
        <sz val="11"/>
        <color rgb="FF000000"/>
        <rFont val="Calibri"/>
        <family val="2"/>
        <charset val="1"/>
      </rPr>
      <t xml:space="preserve">中規模 </t>
    </r>
    <r>
      <rPr>
        <b val="true"/>
        <sz val="11"/>
        <color rgb="FF000000"/>
        <rFont val="Arial"/>
        <family val="0"/>
        <charset val="1"/>
      </rPr>
      <t xml:space="preserve">= 13 </t>
    </r>
    <r>
      <rPr>
        <b val="true"/>
        <sz val="11"/>
        <color rgb="FF000000"/>
        <rFont val="Calibri"/>
        <family val="2"/>
        <charset val="1"/>
      </rPr>
      <t xml:space="preserve">か月目）</t>
    </r>
  </si>
  <si>
    <r>
      <rPr>
        <b val="true"/>
        <sz val="10"/>
        <color rgb="FF000000"/>
        <rFont val="Arial"/>
        <family val="0"/>
        <charset val="1"/>
      </rPr>
      <t xml:space="preserve">AWS </t>
    </r>
    <r>
      <rPr>
        <b val="true"/>
        <sz val="10"/>
        <color rgb="FF000000"/>
        <rFont val="Calibri"/>
        <family val="2"/>
        <charset val="1"/>
      </rPr>
      <t xml:space="preserve">小規模</t>
    </r>
  </si>
  <si>
    <r>
      <rPr>
        <b val="true"/>
        <sz val="10"/>
        <color rgb="FF000000"/>
        <rFont val="Arial"/>
        <family val="0"/>
        <charset val="1"/>
      </rPr>
      <t xml:space="preserve">AWS </t>
    </r>
    <r>
      <rPr>
        <b val="true"/>
        <sz val="10"/>
        <color rgb="FF000000"/>
        <rFont val="Calibri"/>
        <family val="2"/>
        <charset val="1"/>
      </rPr>
      <t xml:space="preserve">中規模</t>
    </r>
  </si>
  <si>
    <r>
      <rPr>
        <b val="true"/>
        <sz val="10"/>
        <color rgb="FF000000"/>
        <rFont val="Arial"/>
        <family val="0"/>
        <charset val="1"/>
      </rPr>
      <t xml:space="preserve">GCP </t>
    </r>
    <r>
      <rPr>
        <b val="true"/>
        <sz val="10"/>
        <color rgb="FF000000"/>
        <rFont val="Calibri"/>
        <family val="2"/>
        <charset val="1"/>
      </rPr>
      <t xml:space="preserve">小規模</t>
    </r>
  </si>
  <si>
    <r>
      <rPr>
        <b val="true"/>
        <sz val="10"/>
        <color rgb="FF000000"/>
        <rFont val="Arial"/>
        <family val="0"/>
        <charset val="1"/>
      </rPr>
      <t xml:space="preserve">GCP </t>
    </r>
    <r>
      <rPr>
        <b val="true"/>
        <sz val="10"/>
        <color rgb="FF000000"/>
        <rFont val="Calibri"/>
        <family val="2"/>
        <charset val="1"/>
      </rPr>
      <t xml:space="preserve">中規模</t>
    </r>
  </si>
  <si>
    <r>
      <rPr>
        <sz val="10"/>
        <color rgb="FF000000"/>
        <rFont val="Calibri"/>
        <family val="2"/>
        <charset val="1"/>
      </rPr>
      <t xml:space="preserve">本番クラウド費（</t>
    </r>
    <r>
      <rPr>
        <sz val="10"/>
        <color rgb="FF000000"/>
        <rFont val="Arial"/>
        <family val="0"/>
        <charset val="1"/>
      </rPr>
      <t xml:space="preserve">USD</t>
    </r>
    <r>
      <rPr>
        <sz val="10"/>
        <color rgb="FF000000"/>
        <rFont val="Calibri"/>
        <family val="2"/>
        <charset val="1"/>
      </rPr>
      <t xml:space="preserve">）</t>
    </r>
  </si>
  <si>
    <t xml:space="preserve">本番小計</t>
  </si>
  <si>
    <r>
      <rPr>
        <sz val="10"/>
        <color rgb="FF000000"/>
        <rFont val="Calibri"/>
        <family val="2"/>
        <charset val="1"/>
      </rPr>
      <t xml:space="preserve">ステージング（</t>
    </r>
    <r>
      <rPr>
        <sz val="10"/>
        <color rgb="FF000000"/>
        <rFont val="Arial"/>
        <family val="0"/>
        <charset val="1"/>
      </rPr>
      <t xml:space="preserve">USD</t>
    </r>
    <r>
      <rPr>
        <sz val="10"/>
        <color rgb="FF000000"/>
        <rFont val="Calibri"/>
        <family val="2"/>
        <charset val="1"/>
      </rPr>
      <t xml:space="preserve">）</t>
    </r>
  </si>
  <si>
    <t xml:space="preserve">クラウド合計（円）</t>
  </si>
  <si>
    <r>
      <rPr>
        <sz val="10"/>
        <color rgb="FF5B6577"/>
        <rFont val="Calibri"/>
        <family val="2"/>
        <charset val="1"/>
      </rPr>
      <t xml:space="preserve">本番 </t>
    </r>
    <r>
      <rPr>
        <sz val="10"/>
        <color rgb="FF5B6577"/>
        <rFont val="Arial"/>
        <family val="0"/>
        <charset val="1"/>
      </rPr>
      <t xml:space="preserve">+ </t>
    </r>
    <r>
      <rPr>
        <sz val="10"/>
        <color rgb="FF5B6577"/>
        <rFont val="Calibri"/>
        <family val="2"/>
        <charset val="1"/>
      </rPr>
      <t xml:space="preserve">ステージング</t>
    </r>
  </si>
  <si>
    <t xml:space="preserve">保守・運用 人件費（円）</t>
  </si>
  <si>
    <t xml:space="preserve">月額 総合計（円）</t>
  </si>
  <si>
    <t xml:space="preserve">注記</t>
  </si>
  <si>
    <r>
      <rPr>
        <sz val="10"/>
        <color rgb="FF5B6577"/>
        <rFont val="Calibri"/>
        <family val="2"/>
        <charset val="1"/>
      </rPr>
      <t xml:space="preserve">・クラウド料金は </t>
    </r>
    <r>
      <rPr>
        <sz val="10"/>
        <color rgb="FF5B6577"/>
        <rFont val="Arial"/>
        <family val="0"/>
        <charset val="1"/>
      </rPr>
      <t xml:space="preserve">2026-10 </t>
    </r>
    <r>
      <rPr>
        <sz val="10"/>
        <color rgb="FF5B6577"/>
        <rFont val="Calibri"/>
        <family val="2"/>
        <charset val="1"/>
      </rPr>
      <t xml:space="preserve">時点の米国リージョン公開価格（</t>
    </r>
    <r>
      <rPr>
        <sz val="10"/>
        <color rgb="FF5B6577"/>
        <rFont val="Arial"/>
        <family val="0"/>
        <charset val="1"/>
      </rPr>
      <t xml:space="preserve">USD</t>
    </r>
    <r>
      <rPr>
        <sz val="10"/>
        <color rgb="FF5B6577"/>
        <rFont val="Calibri"/>
        <family val="2"/>
        <charset val="1"/>
      </rPr>
      <t xml:space="preserve">）。為替 </t>
    </r>
    <r>
      <rPr>
        <sz val="10"/>
        <color rgb="FF5B6577"/>
        <rFont val="Arial"/>
        <family val="0"/>
        <charset val="1"/>
      </rPr>
      <t xml:space="preserve">150 </t>
    </r>
    <r>
      <rPr>
        <sz val="10"/>
        <color rgb="FF5B6577"/>
        <rFont val="Calibri"/>
        <family val="2"/>
        <charset val="1"/>
      </rPr>
      <t xml:space="preserve">円</t>
    </r>
    <r>
      <rPr>
        <sz val="10"/>
        <color rgb="FF5B6577"/>
        <rFont val="Arial"/>
        <family val="0"/>
        <charset val="1"/>
      </rPr>
      <t xml:space="preserve">/USD </t>
    </r>
    <r>
      <rPr>
        <sz val="10"/>
        <color rgb="FF5B6577"/>
        <rFont val="Calibri"/>
        <family val="2"/>
        <charset val="1"/>
      </rPr>
      <t xml:space="preserve">は仮置き。</t>
    </r>
  </si>
  <si>
    <t xml:space="preserve">・人月単価・稼働は仮置き。貴社の体制・単価に置き換えること（前提シート）。</t>
  </si>
  <si>
    <r>
      <rPr>
        <sz val="10"/>
        <color rgb="FF5B6577"/>
        <rFont val="Calibri"/>
        <family val="2"/>
        <charset val="1"/>
      </rPr>
      <t xml:space="preserve">・</t>
    </r>
    <r>
      <rPr>
        <sz val="10"/>
        <color rgb="FF5B6577"/>
        <rFont val="Arial"/>
        <family val="0"/>
        <charset val="1"/>
      </rPr>
      <t xml:space="preserve">AI </t>
    </r>
    <r>
      <rPr>
        <sz val="10"/>
        <color rgb="FF5B6577"/>
        <rFont val="Calibri"/>
        <family val="2"/>
        <charset val="1"/>
      </rPr>
      <t xml:space="preserve">行は『</t>
    </r>
    <r>
      <rPr>
        <sz val="10"/>
        <color rgb="FF5B6577"/>
        <rFont val="Arial"/>
        <family val="0"/>
        <charset val="1"/>
      </rPr>
      <t xml:space="preserve">AI </t>
    </r>
    <r>
      <rPr>
        <sz val="10"/>
        <color rgb="FF5B6577"/>
        <rFont val="Calibri"/>
        <family val="2"/>
        <charset val="1"/>
      </rPr>
      <t xml:space="preserve">活用 第 </t>
    </r>
    <r>
      <rPr>
        <sz val="10"/>
        <color rgb="FF5B6577"/>
        <rFont val="Arial"/>
        <family val="0"/>
        <charset val="1"/>
      </rPr>
      <t xml:space="preserve">1 </t>
    </r>
    <r>
      <rPr>
        <sz val="10"/>
        <color rgb="FF5B6577"/>
        <rFont val="Calibri"/>
        <family val="2"/>
        <charset val="1"/>
      </rPr>
      <t xml:space="preserve">弾』の試算（小規模 </t>
    </r>
    <r>
      <rPr>
        <sz val="10"/>
        <color rgb="FF5B6577"/>
        <rFont val="Arial"/>
        <family val="0"/>
        <charset val="1"/>
      </rPr>
      <t xml:space="preserve">$32/</t>
    </r>
    <r>
      <rPr>
        <sz val="10"/>
        <color rgb="FF5B6577"/>
        <rFont val="Calibri"/>
        <family val="2"/>
        <charset val="1"/>
      </rPr>
      <t xml:space="preserve">月、中規模 </t>
    </r>
    <r>
      <rPr>
        <sz val="10"/>
        <color rgb="FF5B6577"/>
        <rFont val="Arial"/>
        <family val="0"/>
        <charset val="1"/>
      </rPr>
      <t xml:space="preserve">$300/</t>
    </r>
    <r>
      <rPr>
        <sz val="10"/>
        <color rgb="FF5B6577"/>
        <rFont val="Calibri"/>
        <family val="2"/>
        <charset val="1"/>
      </rPr>
      <t xml:space="preserve">月）。詳細は </t>
    </r>
    <r>
      <rPr>
        <sz val="10"/>
        <color rgb="FF5B6577"/>
        <rFont val="Arial"/>
        <family val="0"/>
        <charset val="1"/>
      </rPr>
      <t xml:space="preserve">docs/cloud-selection-cost-and-ai-plan.md §5.6</t>
    </r>
    <r>
      <rPr>
        <sz val="10"/>
        <color rgb="FF5B6577"/>
        <rFont val="Calibri"/>
        <family val="2"/>
        <charset val="1"/>
      </rPr>
      <t xml:space="preserve">。</t>
    </r>
  </si>
  <si>
    <r>
      <rPr>
        <sz val="10"/>
        <color rgb="FF5B6577"/>
        <rFont val="Calibri"/>
        <family val="2"/>
        <charset val="1"/>
      </rPr>
      <t xml:space="preserve">・閉域接続（</t>
    </r>
    <r>
      <rPr>
        <sz val="10"/>
        <color rgb="FF5B6577"/>
        <rFont val="Arial"/>
        <family val="0"/>
        <charset val="1"/>
      </rPr>
      <t xml:space="preserve">PrivateLink / Private Service Connect</t>
    </r>
    <r>
      <rPr>
        <sz val="10"/>
        <color rgb="FF5B6577"/>
        <rFont val="Calibri"/>
        <family val="2"/>
        <charset val="1"/>
      </rPr>
      <t xml:space="preserve">）が必須の場合、</t>
    </r>
    <r>
      <rPr>
        <sz val="10"/>
        <color rgb="FF5B6577"/>
        <rFont val="Arial"/>
        <family val="0"/>
        <charset val="1"/>
      </rPr>
      <t xml:space="preserve">Aura </t>
    </r>
    <r>
      <rPr>
        <sz val="10"/>
        <color rgb="FF5B6577"/>
        <rFont val="Calibri"/>
        <family val="2"/>
        <charset val="1"/>
      </rPr>
      <t xml:space="preserve">は </t>
    </r>
    <r>
      <rPr>
        <sz val="10"/>
        <color rgb="FF5B6577"/>
        <rFont val="Arial"/>
        <family val="0"/>
        <charset val="1"/>
      </rPr>
      <t xml:space="preserve">Enterprise </t>
    </r>
    <r>
      <rPr>
        <sz val="10"/>
        <color rgb="FF5B6577"/>
        <rFont val="Calibri"/>
        <family val="2"/>
        <charset val="1"/>
      </rPr>
      <t xml:space="preserve">ティア（個別見積</t>
    </r>
    <r>
      <rPr>
        <sz val="10"/>
        <color rgb="FF5B6577"/>
        <rFont val="Arial"/>
        <family val="0"/>
        <charset val="1"/>
      </rPr>
      <t xml:space="preserve">, Professional </t>
    </r>
    <r>
      <rPr>
        <sz val="10"/>
        <color rgb="FF5B6577"/>
        <rFont val="Calibri"/>
        <family val="2"/>
        <charset val="1"/>
      </rPr>
      <t xml:space="preserve">の </t>
    </r>
    <r>
      <rPr>
        <sz val="10"/>
        <color rgb="FF5B6577"/>
        <rFont val="Arial"/>
        <family val="0"/>
        <charset val="1"/>
      </rPr>
      <t xml:space="preserve">2</t>
    </r>
    <r>
      <rPr>
        <sz val="10"/>
        <color rgb="FF5B6577"/>
        <rFont val="Calibri"/>
        <family val="2"/>
        <charset val="1"/>
      </rPr>
      <t xml:space="preserve">〜</t>
    </r>
    <r>
      <rPr>
        <sz val="10"/>
        <color rgb="FF5B6577"/>
        <rFont val="Arial"/>
        <family val="0"/>
        <charset val="1"/>
      </rPr>
      <t xml:space="preserve">3 </t>
    </r>
    <r>
      <rPr>
        <sz val="10"/>
        <color rgb="FF5B6577"/>
        <rFont val="Calibri"/>
        <family val="2"/>
        <charset val="1"/>
      </rPr>
      <t xml:space="preserve">倍目安）になる。</t>
    </r>
  </si>
  <si>
    <r>
      <rPr>
        <b val="true"/>
        <sz val="12"/>
        <color rgb="FF000000"/>
        <rFont val="Arial"/>
        <family val="0"/>
        <charset val="1"/>
      </rPr>
      <t xml:space="preserve">Change Intelligence </t>
    </r>
    <r>
      <rPr>
        <b val="true"/>
        <sz val="12"/>
        <color rgb="FF000000"/>
        <rFont val="Calibri"/>
        <family val="2"/>
        <charset val="1"/>
      </rPr>
      <t xml:space="preserve">本番化 費用モデル — 前提（黄色・青字のセルを編集すると全シートが再計算されます）</t>
    </r>
  </si>
  <si>
    <r>
      <rPr>
        <sz val="10"/>
        <color rgb="FF5B6577"/>
        <rFont val="Calibri"/>
        <family val="2"/>
        <charset val="1"/>
      </rPr>
      <t xml:space="preserve">作成 </t>
    </r>
    <r>
      <rPr>
        <sz val="10"/>
        <color rgb="FF5B6577"/>
        <rFont val="Arial"/>
        <family val="0"/>
        <charset val="1"/>
      </rPr>
      <t xml:space="preserve">2026-10-06</t>
    </r>
    <r>
      <rPr>
        <sz val="10"/>
        <color rgb="FF5B6577"/>
        <rFont val="Calibri"/>
        <family val="2"/>
        <charset val="1"/>
      </rPr>
      <t xml:space="preserve">。クラウド料金は </t>
    </r>
    <r>
      <rPr>
        <sz val="10"/>
        <color rgb="FF5B6577"/>
        <rFont val="Arial"/>
        <family val="0"/>
        <charset val="1"/>
      </rPr>
      <t xml:space="preserve">2026-10 </t>
    </r>
    <r>
      <rPr>
        <sz val="10"/>
        <color rgb="FF5B6577"/>
        <rFont val="Calibri"/>
        <family val="2"/>
        <charset val="1"/>
      </rPr>
      <t xml:space="preserve">時点の公開価格（米国リージョン</t>
    </r>
    <r>
      <rPr>
        <sz val="10"/>
        <color rgb="FF5B6577"/>
        <rFont val="Arial"/>
        <family val="0"/>
        <charset val="1"/>
      </rPr>
      <t xml:space="preserve">, USD</t>
    </r>
    <r>
      <rPr>
        <sz val="10"/>
        <color rgb="FF5B6577"/>
        <rFont val="Calibri"/>
        <family val="2"/>
        <charset val="1"/>
      </rPr>
      <t xml:space="preserve">）。人月単価は仮置き。</t>
    </r>
  </si>
  <si>
    <t xml:space="preserve">項目</t>
  </si>
  <si>
    <t xml:space="preserve">値</t>
  </si>
  <si>
    <t xml:space="preserve">単位</t>
  </si>
  <si>
    <t xml:space="preserve">為替レート</t>
  </si>
  <si>
    <r>
      <rPr>
        <sz val="10"/>
        <color rgb="FF000000"/>
        <rFont val="Calibri"/>
        <family val="2"/>
        <charset val="1"/>
      </rPr>
      <t xml:space="preserve">円</t>
    </r>
    <r>
      <rPr>
        <sz val="10"/>
        <color rgb="FF000000"/>
        <rFont val="Arial"/>
        <family val="0"/>
        <charset val="1"/>
      </rPr>
      <t xml:space="preserve">/USD</t>
    </r>
  </si>
  <si>
    <t xml:space="preserve">仮置き。予算時点のレートに置き換える</t>
  </si>
  <si>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Calibri"/>
        <family val="2"/>
        <charset val="1"/>
      </rPr>
      <t xml:space="preserve">か月の稼働時間</t>
    </r>
  </si>
  <si>
    <r>
      <rPr>
        <sz val="10"/>
        <color rgb="FF000000"/>
        <rFont val="Calibri"/>
        <family val="2"/>
        <charset val="1"/>
      </rPr>
      <t xml:space="preserve">時間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Calibri"/>
        <family val="2"/>
        <charset val="1"/>
      </rPr>
      <t xml:space="preserve">月</t>
    </r>
  </si>
  <si>
    <r>
      <rPr>
        <sz val="10"/>
        <color rgb="FF5B6577"/>
        <rFont val="Arial"/>
        <family val="0"/>
        <charset val="1"/>
      </rPr>
      <t xml:space="preserve">24 </t>
    </r>
    <r>
      <rPr>
        <sz val="10"/>
        <color rgb="FF5B6577"/>
        <rFont val="Calibri"/>
        <family val="2"/>
        <charset val="1"/>
      </rPr>
      <t xml:space="preserve">時間 </t>
    </r>
    <r>
      <rPr>
        <sz val="10"/>
        <color rgb="FF5B6577"/>
        <rFont val="Arial"/>
        <family val="0"/>
        <charset val="1"/>
      </rPr>
      <t xml:space="preserve">× 365 </t>
    </r>
    <r>
      <rPr>
        <sz val="10"/>
        <color rgb="FF5B6577"/>
        <rFont val="Calibri"/>
        <family val="2"/>
        <charset val="1"/>
      </rPr>
      <t xml:space="preserve">日 </t>
    </r>
    <r>
      <rPr>
        <sz val="10"/>
        <color rgb="FF5B6577"/>
        <rFont val="Arial"/>
        <family val="0"/>
        <charset val="1"/>
      </rPr>
      <t xml:space="preserve">÷ 12</t>
    </r>
  </si>
  <si>
    <t xml:space="preserve">開発期間</t>
  </si>
  <si>
    <t xml:space="preserve">か月</t>
  </si>
  <si>
    <r>
      <rPr>
        <sz val="10"/>
        <color rgb="FF5B6577"/>
        <rFont val="Calibri"/>
        <family val="2"/>
        <charset val="1"/>
      </rPr>
      <t xml:space="preserve">要件 </t>
    </r>
    <r>
      <rPr>
        <sz val="10"/>
        <color rgb="FF5B6577"/>
        <rFont val="Arial"/>
        <family val="0"/>
        <charset val="1"/>
      </rPr>
      <t xml:space="preserve">1.0 / </t>
    </r>
    <r>
      <rPr>
        <sz val="10"/>
        <color rgb="FF5B6577"/>
        <rFont val="Calibri"/>
        <family val="2"/>
        <charset val="1"/>
      </rPr>
      <t xml:space="preserve">基本設計 </t>
    </r>
    <r>
      <rPr>
        <sz val="10"/>
        <color rgb="FF5B6577"/>
        <rFont val="Arial"/>
        <family val="0"/>
        <charset val="1"/>
      </rPr>
      <t xml:space="preserve">0.5 / </t>
    </r>
    <r>
      <rPr>
        <sz val="10"/>
        <color rgb="FF5B6577"/>
        <rFont val="Calibri"/>
        <family val="2"/>
        <charset val="1"/>
      </rPr>
      <t xml:space="preserve">実装 </t>
    </r>
    <r>
      <rPr>
        <sz val="10"/>
        <color rgb="FF5B6577"/>
        <rFont val="Arial"/>
        <family val="0"/>
        <charset val="1"/>
      </rPr>
      <t xml:space="preserve">2.5 / </t>
    </r>
    <r>
      <rPr>
        <sz val="10"/>
        <color rgb="FF5B6577"/>
        <rFont val="Calibri"/>
        <family val="2"/>
        <charset val="1"/>
      </rPr>
      <t xml:space="preserve">テスト・移行 </t>
    </r>
    <r>
      <rPr>
        <sz val="10"/>
        <color rgb="FF5B6577"/>
        <rFont val="Arial"/>
        <family val="0"/>
        <charset val="1"/>
      </rPr>
      <t xml:space="preserve">1.0</t>
    </r>
  </si>
  <si>
    <r>
      <rPr>
        <sz val="10"/>
        <color rgb="FF000000"/>
        <rFont val="Calibri"/>
        <family val="2"/>
        <charset val="1"/>
      </rPr>
      <t xml:space="preserve">運用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Calibri"/>
        <family val="2"/>
        <charset val="1"/>
      </rPr>
      <t xml:space="preserve">中規模へ切り替わる月（運用開始からの通算月）</t>
    </r>
  </si>
  <si>
    <t xml:space="preserve">か月目</t>
  </si>
  <si>
    <r>
      <rPr>
        <sz val="10"/>
        <color rgb="FF5B6577"/>
        <rFont val="Calibri"/>
        <family val="2"/>
        <charset val="1"/>
      </rPr>
      <t xml:space="preserve">初年度は小規模、</t>
    </r>
    <r>
      <rPr>
        <sz val="10"/>
        <color rgb="FF5B6577"/>
        <rFont val="Arial"/>
        <family val="0"/>
        <charset val="1"/>
      </rPr>
      <t xml:space="preserve">2 </t>
    </r>
    <r>
      <rPr>
        <sz val="10"/>
        <color rgb="FF5B6577"/>
        <rFont val="Calibri"/>
        <family val="2"/>
        <charset val="1"/>
      </rPr>
      <t xml:space="preserve">年目から中規模の想定</t>
    </r>
  </si>
  <si>
    <t xml:space="preserve">ステージング環境の規模（本番比）</t>
  </si>
  <si>
    <t xml:space="preserve">倍</t>
  </si>
  <si>
    <r>
      <rPr>
        <sz val="10"/>
        <color rgb="FF5B6577"/>
        <rFont val="Calibri"/>
        <family val="2"/>
        <charset val="1"/>
      </rPr>
      <t xml:space="preserve">コンピュート・</t>
    </r>
    <r>
      <rPr>
        <sz val="10"/>
        <color rgb="FF5B6577"/>
        <rFont val="Arial"/>
        <family val="0"/>
        <charset val="1"/>
      </rPr>
      <t xml:space="preserve">LB</t>
    </r>
    <r>
      <rPr>
        <sz val="10"/>
        <color rgb="FF5B6577"/>
        <rFont val="Calibri"/>
        <family val="2"/>
        <charset val="1"/>
      </rPr>
      <t xml:space="preserve">・ログを本番の </t>
    </r>
    <r>
      <rPr>
        <sz val="10"/>
        <color rgb="FF5B6577"/>
        <rFont val="Arial"/>
        <family val="0"/>
        <charset val="1"/>
      </rPr>
      <t xml:space="preserve">40% </t>
    </r>
    <r>
      <rPr>
        <sz val="10"/>
        <color rgb="FF5B6577"/>
        <rFont val="Calibri"/>
        <family val="2"/>
        <charset val="1"/>
      </rPr>
      <t xml:space="preserve">とみなす</t>
    </r>
  </si>
  <si>
    <r>
      <rPr>
        <sz val="10"/>
        <color rgb="FF000000"/>
        <rFont val="Calibri"/>
        <family val="2"/>
        <charset val="1"/>
      </rPr>
      <t xml:space="preserve">保守・運用の人件費（人月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Calibri"/>
        <family val="2"/>
        <charset val="1"/>
      </rPr>
      <t xml:space="preserve">月）</t>
    </r>
  </si>
  <si>
    <r>
      <rPr>
        <sz val="10"/>
        <color rgb="FF000000"/>
        <rFont val="Calibri"/>
        <family val="2"/>
        <charset val="1"/>
      </rPr>
      <t xml:space="preserve">人月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Calibri"/>
        <family val="2"/>
        <charset val="1"/>
      </rPr>
      <t xml:space="preserve">月</t>
    </r>
  </si>
  <si>
    <r>
      <rPr>
        <sz val="10"/>
        <color rgb="FF5B6577"/>
        <rFont val="Calibri"/>
        <family val="2"/>
        <charset val="1"/>
      </rPr>
      <t xml:space="preserve">アプリ保守 </t>
    </r>
    <r>
      <rPr>
        <sz val="10"/>
        <color rgb="FF5B6577"/>
        <rFont val="Arial"/>
        <family val="0"/>
        <charset val="1"/>
      </rPr>
      <t xml:space="preserve">0.5 + </t>
    </r>
    <r>
      <rPr>
        <sz val="10"/>
        <color rgb="FF5B6577"/>
        <rFont val="Calibri"/>
        <family val="2"/>
        <charset val="1"/>
      </rPr>
      <t xml:space="preserve">インフラ </t>
    </r>
    <r>
      <rPr>
        <sz val="10"/>
        <color rgb="FF5B6577"/>
        <rFont val="Arial"/>
        <family val="0"/>
        <charset val="1"/>
      </rPr>
      <t xml:space="preserve">0.2</t>
    </r>
  </si>
  <si>
    <t xml:space="preserve">保守・運用の人月単価</t>
  </si>
  <si>
    <r>
      <rPr>
        <sz val="10"/>
        <color rgb="FF000000"/>
        <rFont val="Calibri"/>
        <family val="2"/>
        <charset val="1"/>
      </rPr>
      <t xml:space="preserve">円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Calibri"/>
        <family val="2"/>
        <charset val="1"/>
      </rPr>
      <t xml:space="preserve">人月</t>
    </r>
  </si>
  <si>
    <r>
      <rPr>
        <sz val="10"/>
        <color rgb="FF5B6577"/>
        <rFont val="Arial"/>
        <family val="0"/>
        <charset val="1"/>
      </rPr>
      <t xml:space="preserve">SE </t>
    </r>
    <r>
      <rPr>
        <sz val="10"/>
        <color rgb="FF5B6577"/>
        <rFont val="Calibri"/>
        <family val="2"/>
        <charset val="1"/>
      </rPr>
      <t xml:space="preserve">と </t>
    </r>
    <r>
      <rPr>
        <sz val="10"/>
        <color rgb="FF5B6577"/>
        <rFont val="Arial"/>
        <family val="0"/>
        <charset val="1"/>
      </rPr>
      <t xml:space="preserve">SRE </t>
    </r>
    <r>
      <rPr>
        <sz val="10"/>
        <color rgb="FF5B6577"/>
        <rFont val="Calibri"/>
        <family val="2"/>
        <charset val="1"/>
      </rPr>
      <t xml:space="preserve">の平均</t>
    </r>
  </si>
  <si>
    <t xml:space="preserve">開発体制（共通）</t>
  </si>
  <si>
    <t xml:space="preserve">役割</t>
  </si>
  <si>
    <t xml:space="preserve">人月単価（円）</t>
  </si>
  <si>
    <t xml:space="preserve">稼働（人）</t>
  </si>
  <si>
    <t xml:space="preserve">PM</t>
  </si>
  <si>
    <r>
      <rPr>
        <sz val="10"/>
        <color rgb="FF5B6577"/>
        <rFont val="Calibri"/>
        <family val="2"/>
        <charset val="1"/>
      </rPr>
      <t xml:space="preserve">国内 </t>
    </r>
    <r>
      <rPr>
        <sz val="10"/>
        <color rgb="FF5B6577"/>
        <rFont val="Arial"/>
        <family val="0"/>
        <charset val="1"/>
      </rPr>
      <t xml:space="preserve">SIer / </t>
    </r>
    <r>
      <rPr>
        <sz val="10"/>
        <color rgb="FF5B6577"/>
        <rFont val="Calibri"/>
        <family val="2"/>
        <charset val="1"/>
      </rPr>
      <t xml:space="preserve">社内開発の一般的な水準を仮置き</t>
    </r>
  </si>
  <si>
    <r>
      <rPr>
        <sz val="10"/>
        <color rgb="FF000000"/>
        <rFont val="Calibri"/>
        <family val="2"/>
        <charset val="1"/>
      </rPr>
      <t xml:space="preserve">テックリード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Calibri"/>
        <family val="2"/>
        <charset val="1"/>
      </rPr>
      <t xml:space="preserve">アーキテクト</t>
    </r>
  </si>
  <si>
    <r>
      <rPr>
        <sz val="10"/>
        <color rgb="FF000000"/>
        <rFont val="Calibri"/>
        <family val="2"/>
        <charset val="1"/>
      </rPr>
      <t xml:space="preserve">バックエンド（</t>
    </r>
    <r>
      <rPr>
        <sz val="10"/>
        <color rgb="FF000000"/>
        <rFont val="Arial"/>
        <family val="0"/>
        <charset val="1"/>
      </rPr>
      <t xml:space="preserve">Collector</t>
    </r>
    <r>
      <rPr>
        <sz val="10"/>
        <color rgb="FF000000"/>
        <rFont val="Calibri"/>
        <family val="2"/>
        <charset val="1"/>
      </rPr>
      <t xml:space="preserve">・分析）</t>
    </r>
  </si>
  <si>
    <t xml:space="preserve">フロントエンド</t>
  </si>
  <si>
    <r>
      <rPr>
        <sz val="10"/>
        <color rgb="FF000000"/>
        <rFont val="Calibri"/>
        <family val="2"/>
        <charset val="1"/>
      </rPr>
      <t xml:space="preserve">インフラ </t>
    </r>
    <r>
      <rPr>
        <sz val="10"/>
        <color rgb="FF000000"/>
        <rFont val="Arial"/>
        <family val="0"/>
        <charset val="1"/>
      </rPr>
      <t xml:space="preserve">/ SRE</t>
    </r>
  </si>
  <si>
    <r>
      <rPr>
        <sz val="10"/>
        <color rgb="FF000000"/>
        <rFont val="Arial"/>
        <family val="0"/>
        <charset val="1"/>
      </rPr>
      <t xml:space="preserve">QA / </t>
    </r>
    <r>
      <rPr>
        <sz val="10"/>
        <color rgb="FF000000"/>
        <rFont val="Calibri"/>
        <family val="2"/>
        <charset val="1"/>
      </rPr>
      <t xml:space="preserve">テスト</t>
    </r>
  </si>
  <si>
    <t xml:space="preserve">合計</t>
  </si>
  <si>
    <r>
      <rPr>
        <sz val="10"/>
        <color rgb="FF5B6577"/>
        <rFont val="Arial"/>
        <family val="0"/>
        <charset val="1"/>
      </rPr>
      <t xml:space="preserve">B </t>
    </r>
    <r>
      <rPr>
        <sz val="10"/>
        <color rgb="FF5B6577"/>
        <rFont val="Calibri"/>
        <family val="2"/>
        <charset val="1"/>
      </rPr>
      <t xml:space="preserve">列 </t>
    </r>
    <r>
      <rPr>
        <sz val="10"/>
        <color rgb="FF5B6577"/>
        <rFont val="Arial"/>
        <family val="0"/>
        <charset val="1"/>
      </rPr>
      <t xml:space="preserve">= </t>
    </r>
    <r>
      <rPr>
        <sz val="10"/>
        <color rgb="FF5B6577"/>
        <rFont val="Calibri"/>
        <family val="2"/>
        <charset val="1"/>
      </rPr>
      <t xml:space="preserve">月額人件費（円）</t>
    </r>
    <r>
      <rPr>
        <sz val="10"/>
        <color rgb="FF5B6577"/>
        <rFont val="Arial"/>
        <family val="0"/>
        <charset val="1"/>
      </rPr>
      <t xml:space="preserve">, C </t>
    </r>
    <r>
      <rPr>
        <sz val="10"/>
        <color rgb="FF5B6577"/>
        <rFont val="Calibri"/>
        <family val="2"/>
        <charset val="1"/>
      </rPr>
      <t xml:space="preserve">列 </t>
    </r>
    <r>
      <rPr>
        <sz val="10"/>
        <color rgb="FF5B6577"/>
        <rFont val="Arial"/>
        <family val="0"/>
        <charset val="1"/>
      </rPr>
      <t xml:space="preserve">= </t>
    </r>
    <r>
      <rPr>
        <sz val="10"/>
        <color rgb="FF5B6577"/>
        <rFont val="Calibri"/>
        <family val="2"/>
        <charset val="1"/>
      </rPr>
      <t xml:space="preserve">人数</t>
    </r>
  </si>
  <si>
    <t xml:space="preserve">シナリオ別の追加工数（人月）</t>
  </si>
  <si>
    <t xml:space="preserve">シナリオ</t>
  </si>
  <si>
    <t xml:space="preserve">追加人月</t>
  </si>
  <si>
    <r>
      <rPr>
        <b val="true"/>
        <sz val="10"/>
        <color rgb="FF000000"/>
        <rFont val="Calibri"/>
        <family val="2"/>
        <charset val="1"/>
      </rPr>
      <t xml:space="preserve">発生月（開発 </t>
    </r>
    <r>
      <rPr>
        <b val="true"/>
        <sz val="10"/>
        <color rgb="FF000000"/>
        <rFont val="Arial"/>
        <family val="0"/>
        <charset val="1"/>
      </rPr>
      <t xml:space="preserve">M</t>
    </r>
    <r>
      <rPr>
        <b val="true"/>
        <sz val="10"/>
        <color rgb="FF000000"/>
        <rFont val="Calibri"/>
        <family val="2"/>
        <charset val="1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</si>
  <si>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B. AWS + Neptune: Graph </t>
    </r>
    <r>
      <rPr>
        <sz val="10"/>
        <color rgb="FF000000"/>
        <rFont val="Calibri"/>
        <family val="2"/>
        <charset val="1"/>
      </rPr>
      <t xml:space="preserve">層の書き換え</t>
    </r>
  </si>
  <si>
    <r>
      <rPr>
        <sz val="10"/>
        <color rgb="FF5B6577"/>
        <rFont val="Calibri"/>
        <family val="2"/>
        <charset val="1"/>
      </rPr>
      <t xml:space="preserve">制約・インデックスの置き換え、</t>
    </r>
    <r>
      <rPr>
        <sz val="10"/>
        <color rgb="FF5B6577"/>
        <rFont val="Arial"/>
        <family val="0"/>
        <charset val="1"/>
      </rPr>
      <t xml:space="preserve">Bolt </t>
    </r>
    <r>
      <rPr>
        <sz val="10"/>
        <color rgb="FF5B6577"/>
        <rFont val="Calibri"/>
        <family val="2"/>
        <charset val="1"/>
      </rPr>
      <t xml:space="preserve">のみ、</t>
    </r>
    <r>
      <rPr>
        <sz val="10"/>
        <color rgb="FF5B6577"/>
        <rFont val="Arial"/>
        <family val="0"/>
        <charset val="1"/>
      </rPr>
      <t xml:space="preserve">APOC </t>
    </r>
    <r>
      <rPr>
        <sz val="10"/>
        <color rgb="FF5B6577"/>
        <rFont val="Calibri"/>
        <family val="2"/>
        <charset val="1"/>
      </rPr>
      <t xml:space="preserve">非対応の確認</t>
    </r>
  </si>
  <si>
    <r>
      <rPr>
        <sz val="10"/>
        <color rgb="FF000000"/>
        <rFont val="Arial"/>
        <family val="0"/>
        <charset val="1"/>
      </rPr>
      <t xml:space="preserve">C/D. GCP: Cloud Run / IAP </t>
    </r>
    <r>
      <rPr>
        <sz val="10"/>
        <color rgb="FF000000"/>
        <rFont val="Calibri"/>
        <family val="2"/>
        <charset val="1"/>
      </rPr>
      <t xml:space="preserve">による構築簡略化</t>
    </r>
  </si>
  <si>
    <r>
      <rPr>
        <sz val="10"/>
        <color rgb="FF5B6577"/>
        <rFont val="Arial"/>
        <family val="0"/>
        <charset val="1"/>
      </rPr>
      <t xml:space="preserve">ECS + ALB + Cognito </t>
    </r>
    <r>
      <rPr>
        <sz val="10"/>
        <color rgb="FF5B6577"/>
        <rFont val="Calibri"/>
        <family val="2"/>
        <charset val="1"/>
      </rPr>
      <t xml:space="preserve">より構築が速い分のマイナス</t>
    </r>
  </si>
  <si>
    <r>
      <rPr>
        <sz val="10"/>
        <color rgb="FF000000"/>
        <rFont val="Arial"/>
        <family val="0"/>
        <charset val="1"/>
      </rPr>
      <t xml:space="preserve">D. GCP + Spanner Graph: Graph </t>
    </r>
    <r>
      <rPr>
        <sz val="10"/>
        <color rgb="FF000000"/>
        <rFont val="Calibri"/>
        <family val="2"/>
        <charset val="1"/>
      </rPr>
      <t xml:space="preserve">層の書き直し（</t>
    </r>
    <r>
      <rPr>
        <sz val="10"/>
        <color rgb="FF000000"/>
        <rFont val="Arial"/>
        <family val="0"/>
        <charset val="1"/>
      </rPr>
      <t xml:space="preserve">M2</t>
    </r>
    <r>
      <rPr>
        <sz val="10"/>
        <color rgb="FF000000"/>
        <rFont val="Calibri"/>
        <family val="2"/>
        <charset val="1"/>
      </rPr>
      <t xml:space="preserve">）</t>
    </r>
  </si>
  <si>
    <r>
      <rPr>
        <sz val="10"/>
        <color rgb="FF5B6577"/>
        <rFont val="Calibri"/>
        <family val="2"/>
        <charset val="1"/>
      </rPr>
      <t xml:space="preserve">スキーマ設計 </t>
    </r>
    <r>
      <rPr>
        <sz val="10"/>
        <color rgb="FF5B6577"/>
        <rFont val="Arial"/>
        <family val="0"/>
        <charset val="1"/>
      </rPr>
      <t xml:space="preserve">+ CREATE PROPERTY GRAPH</t>
    </r>
  </si>
  <si>
    <r>
      <rPr>
        <sz val="10"/>
        <color rgb="FF000000"/>
        <rFont val="Arial"/>
        <family val="0"/>
        <charset val="1"/>
      </rPr>
      <t xml:space="preserve">D. GCP + Spanner Graph: Graph </t>
    </r>
    <r>
      <rPr>
        <sz val="10"/>
        <color rgb="FF000000"/>
        <rFont val="Calibri"/>
        <family val="2"/>
        <charset val="1"/>
      </rPr>
      <t xml:space="preserve">層の書き直し（</t>
    </r>
    <r>
      <rPr>
        <sz val="10"/>
        <color rgb="FF000000"/>
        <rFont val="Arial"/>
        <family val="0"/>
        <charset val="1"/>
      </rPr>
      <t xml:space="preserve">M3</t>
    </r>
    <r>
      <rPr>
        <sz val="10"/>
        <color rgb="FF000000"/>
        <rFont val="Calibri"/>
        <family val="2"/>
        <charset val="1"/>
      </rPr>
      <t xml:space="preserve">）</t>
    </r>
  </si>
  <si>
    <r>
      <rPr>
        <sz val="10"/>
        <color rgb="FF5B6577"/>
        <rFont val="Arial"/>
        <family val="0"/>
        <charset val="1"/>
      </rPr>
      <t xml:space="preserve">GQL </t>
    </r>
    <r>
      <rPr>
        <sz val="10"/>
        <color rgb="FF5B6577"/>
        <rFont val="Calibri"/>
        <family val="2"/>
        <charset val="1"/>
      </rPr>
      <t xml:space="preserve">への書き換え、</t>
    </r>
    <r>
      <rPr>
        <sz val="10"/>
        <color rgb="FF5B6577"/>
        <rFont val="Arial"/>
        <family val="0"/>
        <charset val="1"/>
      </rPr>
      <t xml:space="preserve">seed / Resolve </t>
    </r>
    <r>
      <rPr>
        <sz val="10"/>
        <color rgb="FF5B6577"/>
        <rFont val="Calibri"/>
        <family val="2"/>
        <charset val="1"/>
      </rPr>
      <t xml:space="preserve">の再実装</t>
    </r>
  </si>
  <si>
    <r>
      <rPr>
        <sz val="10"/>
        <color rgb="FF000000"/>
        <rFont val="Calibri"/>
        <family val="2"/>
        <charset val="1"/>
      </rPr>
      <t xml:space="preserve">追加工数の単価（円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Calibri"/>
        <family val="2"/>
        <charset val="1"/>
      </rPr>
      <t xml:space="preserve">人月）</t>
    </r>
  </si>
  <si>
    <r>
      <rPr>
        <sz val="10"/>
        <color rgb="FF5B6577"/>
        <rFont val="Calibri"/>
        <family val="2"/>
        <charset val="1"/>
      </rPr>
      <t xml:space="preserve">バックエンド </t>
    </r>
    <r>
      <rPr>
        <sz val="10"/>
        <color rgb="FF5B6577"/>
        <rFont val="Arial"/>
        <family val="0"/>
        <charset val="1"/>
      </rPr>
      <t xml:space="preserve">SE </t>
    </r>
    <r>
      <rPr>
        <sz val="10"/>
        <color rgb="FF5B6577"/>
        <rFont val="Calibri"/>
        <family val="2"/>
        <charset val="1"/>
      </rPr>
      <t xml:space="preserve">単価</t>
    </r>
  </si>
  <si>
    <r>
      <rPr>
        <b val="true"/>
        <sz val="11"/>
        <color rgb="FF000000"/>
        <rFont val="Calibri"/>
        <family val="2"/>
        <charset val="1"/>
      </rPr>
      <t xml:space="preserve">開発期間中のクラウド・ツール（</t>
    </r>
    <r>
      <rPr>
        <b val="true"/>
        <sz val="11"/>
        <color rgb="FF000000"/>
        <rFont val="Arial"/>
        <family val="0"/>
        <charset val="1"/>
      </rPr>
      <t xml:space="preserve">USD/</t>
    </r>
    <r>
      <rPr>
        <b val="true"/>
        <sz val="11"/>
        <color rgb="FF000000"/>
        <rFont val="Calibri"/>
        <family val="2"/>
        <charset val="1"/>
      </rPr>
      <t xml:space="preserve">月）</t>
    </r>
  </si>
  <si>
    <t xml:space="preserve">AWS</t>
  </si>
  <si>
    <t xml:space="preserve">GCP</t>
  </si>
  <si>
    <r>
      <rPr>
        <sz val="10"/>
        <color rgb="FF000000"/>
        <rFont val="Calibri"/>
        <family val="2"/>
        <charset val="1"/>
      </rPr>
      <t xml:space="preserve">開発・ステージング環境（コンテナ・</t>
    </r>
    <r>
      <rPr>
        <sz val="10"/>
        <color rgb="FF000000"/>
        <rFont val="Arial"/>
        <family val="0"/>
        <charset val="1"/>
      </rPr>
      <t xml:space="preserve">LB</t>
    </r>
    <r>
      <rPr>
        <sz val="10"/>
        <color rgb="FF000000"/>
        <rFont val="Calibri"/>
        <family val="2"/>
        <charset val="1"/>
      </rPr>
      <t xml:space="preserve">・ログ）</t>
    </r>
  </si>
  <si>
    <r>
      <rPr>
        <sz val="10"/>
        <color rgb="FF5B6577"/>
        <rFont val="Arial"/>
        <family val="0"/>
        <charset val="1"/>
      </rPr>
      <t xml:space="preserve">2 </t>
    </r>
    <r>
      <rPr>
        <sz val="10"/>
        <color rgb="FF5B6577"/>
        <rFont val="Calibri"/>
        <family val="2"/>
        <charset val="1"/>
      </rPr>
      <t xml:space="preserve">環境分。夜間停止で削減可</t>
    </r>
  </si>
  <si>
    <r>
      <rPr>
        <sz val="10"/>
        <color rgb="FF000000"/>
        <rFont val="Arial"/>
        <family val="0"/>
        <charset val="1"/>
      </rPr>
      <t xml:space="preserve">Graph DB</t>
    </r>
    <r>
      <rPr>
        <sz val="10"/>
        <color rgb="FF000000"/>
        <rFont val="Calibri"/>
        <family val="2"/>
        <charset val="1"/>
      </rPr>
      <t xml:space="preserve">（開発用 </t>
    </r>
    <r>
      <rPr>
        <sz val="10"/>
        <color rgb="FF000000"/>
        <rFont val="Arial"/>
        <family val="0"/>
        <charset val="1"/>
      </rPr>
      <t xml:space="preserve">AuraDB Professional 1GB</t>
    </r>
    <r>
      <rPr>
        <sz val="10"/>
        <color rgb="FF000000"/>
        <rFont val="Calibri"/>
        <family val="2"/>
        <charset val="1"/>
      </rPr>
      <t xml:space="preserve">）</t>
    </r>
  </si>
  <si>
    <r>
      <rPr>
        <sz val="10"/>
        <color rgb="FF5B6577"/>
        <rFont val="Arial"/>
        <family val="0"/>
        <charset val="1"/>
      </rPr>
      <t xml:space="preserve">$65/GB/</t>
    </r>
    <r>
      <rPr>
        <sz val="10"/>
        <color rgb="FF5B6577"/>
        <rFont val="Calibri"/>
        <family val="2"/>
        <charset val="1"/>
      </rPr>
      <t xml:space="preserve">月</t>
    </r>
    <r>
      <rPr>
        <sz val="10"/>
        <color rgb="FF5B6577"/>
        <rFont val="Arial"/>
        <family val="0"/>
        <charset val="1"/>
      </rPr>
      <t xml:space="preserve">, </t>
    </r>
    <r>
      <rPr>
        <sz val="10"/>
        <color rgb="FF5B6577"/>
        <rFont val="Calibri"/>
        <family val="2"/>
        <charset val="1"/>
      </rPr>
      <t xml:space="preserve">最小 </t>
    </r>
    <r>
      <rPr>
        <sz val="10"/>
        <color rgb="FF5B6577"/>
        <rFont val="Arial"/>
        <family val="0"/>
        <charset val="1"/>
      </rPr>
      <t xml:space="preserve">1GB</t>
    </r>
    <r>
      <rPr>
        <sz val="10"/>
        <color rgb="FF5B6577"/>
        <rFont val="Calibri"/>
        <family val="2"/>
        <charset val="1"/>
      </rPr>
      <t xml:space="preserve">。</t>
    </r>
    <r>
      <rPr>
        <sz val="10"/>
        <color rgb="FF5B6577"/>
        <rFont val="Arial"/>
        <family val="0"/>
        <charset val="1"/>
      </rPr>
      <t xml:space="preserve">https://neo4j.com/pricing</t>
    </r>
  </si>
  <si>
    <r>
      <rPr>
        <sz val="10"/>
        <color rgb="FF000000"/>
        <rFont val="Arial"/>
        <family val="0"/>
        <charset val="1"/>
      </rPr>
      <t xml:space="preserve">LLM API</t>
    </r>
    <r>
      <rPr>
        <sz val="10"/>
        <color rgb="FF000000"/>
        <rFont val="Calibri"/>
        <family val="2"/>
        <charset val="1"/>
      </rPr>
      <t xml:space="preserve">（開発・評価）</t>
    </r>
  </si>
  <si>
    <r>
      <rPr>
        <sz val="10"/>
        <color rgb="FF5B6577"/>
        <rFont val="Arial"/>
        <family val="0"/>
        <charset val="1"/>
      </rPr>
      <t xml:space="preserve">Sonnet 5.5 </t>
    </r>
    <r>
      <rPr>
        <sz val="10"/>
        <color rgb="FF5B6577"/>
        <rFont val="Calibri"/>
        <family val="2"/>
        <charset val="1"/>
      </rPr>
      <t xml:space="preserve">中心。約 </t>
    </r>
    <r>
      <rPr>
        <sz val="10"/>
        <color rgb="FF5B6577"/>
        <rFont val="Arial"/>
        <family val="0"/>
        <charset val="1"/>
      </rPr>
      <t xml:space="preserve">2 </t>
    </r>
    <r>
      <rPr>
        <sz val="10"/>
        <color rgb="FF5B6577"/>
        <rFont val="Calibri"/>
        <family val="2"/>
        <charset val="1"/>
      </rPr>
      <t xml:space="preserve">万円</t>
    </r>
    <r>
      <rPr>
        <sz val="10"/>
        <color rgb="FF5B6577"/>
        <rFont val="Arial"/>
        <family val="0"/>
        <charset val="1"/>
      </rPr>
      <t xml:space="preserve">/</t>
    </r>
    <r>
      <rPr>
        <sz val="10"/>
        <color rgb="FF5B6577"/>
        <rFont val="Calibri"/>
        <family val="2"/>
        <charset val="1"/>
      </rPr>
      <t xml:space="preserve">月</t>
    </r>
  </si>
  <si>
    <r>
      <rPr>
        <sz val="10"/>
        <color rgb="FF000000"/>
        <rFont val="Arial"/>
        <family val="0"/>
        <charset val="1"/>
      </rPr>
      <t xml:space="preserve">CI/CD</t>
    </r>
    <r>
      <rPr>
        <sz val="10"/>
        <color rgb="FF000000"/>
        <rFont val="Calibri"/>
        <family val="2"/>
        <charset val="1"/>
      </rPr>
      <t xml:space="preserve">・リポジトリ・監視 </t>
    </r>
    <r>
      <rPr>
        <sz val="10"/>
        <color rgb="FF000000"/>
        <rFont val="Arial"/>
        <family val="0"/>
        <charset val="1"/>
      </rPr>
      <t xml:space="preserve">SaaS</t>
    </r>
  </si>
  <si>
    <r>
      <rPr>
        <sz val="10"/>
        <color rgb="FF5B6577"/>
        <rFont val="Arial"/>
        <family val="0"/>
        <charset val="1"/>
      </rPr>
      <t xml:space="preserve">GitHub </t>
    </r>
    <r>
      <rPr>
        <sz val="10"/>
        <color rgb="FF5B6577"/>
        <rFont val="Calibri"/>
        <family val="2"/>
        <charset val="1"/>
      </rPr>
      <t xml:space="preserve">等。約 </t>
    </r>
    <r>
      <rPr>
        <sz val="10"/>
        <color rgb="FF5B6577"/>
        <rFont val="Arial"/>
        <family val="0"/>
        <charset val="1"/>
      </rPr>
      <t xml:space="preserve">2 </t>
    </r>
    <r>
      <rPr>
        <sz val="10"/>
        <color rgb="FF5B6577"/>
        <rFont val="Calibri"/>
        <family val="2"/>
        <charset val="1"/>
      </rPr>
      <t xml:space="preserve">万円</t>
    </r>
    <r>
      <rPr>
        <sz val="10"/>
        <color rgb="FF5B6577"/>
        <rFont val="Arial"/>
        <family val="0"/>
        <charset val="1"/>
      </rPr>
      <t xml:space="preserve">/</t>
    </r>
    <r>
      <rPr>
        <sz val="10"/>
        <color rgb="FF5B6577"/>
        <rFont val="Calibri"/>
        <family val="2"/>
        <charset val="1"/>
      </rPr>
      <t xml:space="preserve">月</t>
    </r>
  </si>
  <si>
    <r>
      <rPr>
        <b val="true"/>
        <sz val="11"/>
        <color rgb="FF000000"/>
        <rFont val="Calibri"/>
        <family val="2"/>
        <charset val="1"/>
      </rPr>
      <t xml:space="preserve">運用</t>
    </r>
    <r>
      <rPr>
        <b val="true"/>
        <sz val="11"/>
        <color rgb="FF000000"/>
        <rFont val="Arial"/>
        <family val="0"/>
        <charset val="1"/>
      </rPr>
      <t xml:space="preserve">: </t>
    </r>
    <r>
      <rPr>
        <b val="true"/>
        <sz val="11"/>
        <color rgb="FF000000"/>
        <rFont val="Calibri"/>
        <family val="2"/>
        <charset val="1"/>
      </rPr>
      <t xml:space="preserve">クラウド単価（</t>
    </r>
    <r>
      <rPr>
        <b val="true"/>
        <sz val="11"/>
        <color rgb="FF000000"/>
        <rFont val="Arial"/>
        <family val="0"/>
        <charset val="1"/>
      </rPr>
      <t xml:space="preserve">USD</t>
    </r>
    <r>
      <rPr>
        <b val="true"/>
        <sz val="11"/>
        <color rgb="FF000000"/>
        <rFont val="Calibri"/>
        <family val="2"/>
        <charset val="1"/>
      </rPr>
      <t xml:space="preserve">）</t>
    </r>
  </si>
  <si>
    <t xml:space="preserve">単価</t>
  </si>
  <si>
    <r>
      <rPr>
        <b val="true"/>
        <sz val="10"/>
        <color rgb="FF000000"/>
        <rFont val="Calibri"/>
        <family val="2"/>
        <charset val="1"/>
      </rPr>
      <t xml:space="preserve">出典 </t>
    </r>
    <r>
      <rPr>
        <b val="true"/>
        <sz val="10"/>
        <color rgb="FF000000"/>
        <rFont val="Arial"/>
        <family val="0"/>
        <charset val="1"/>
      </rPr>
      <t xml:space="preserve">/ </t>
    </r>
    <r>
      <rPr>
        <b val="true"/>
        <sz val="10"/>
        <color rgb="FF000000"/>
        <rFont val="Calibri"/>
        <family val="2"/>
        <charset val="1"/>
      </rPr>
      <t xml:space="preserve">備考</t>
    </r>
  </si>
  <si>
    <t xml:space="preserve">AWS Fargate vCPU</t>
  </si>
  <si>
    <r>
      <rPr>
        <sz val="10"/>
        <color rgb="FF000000"/>
        <rFont val="Arial"/>
        <family val="0"/>
        <charset val="1"/>
      </rPr>
      <t xml:space="preserve">USD/vCPU </t>
    </r>
    <r>
      <rPr>
        <sz val="10"/>
        <color rgb="FF000000"/>
        <rFont val="Calibri"/>
        <family val="2"/>
        <charset val="1"/>
      </rPr>
      <t xml:space="preserve">時</t>
    </r>
  </si>
  <si>
    <r>
      <rPr>
        <sz val="10"/>
        <color rgb="FF5B6577"/>
        <rFont val="Arial"/>
        <family val="0"/>
        <charset val="1"/>
      </rPr>
      <t xml:space="preserve">https://aws.amazon.com/fargate/pricing</t>
    </r>
    <r>
      <rPr>
        <sz val="10"/>
        <color rgb="FF5B6577"/>
        <rFont val="Calibri"/>
        <family val="2"/>
        <charset val="1"/>
      </rPr>
      <t xml:space="preserve">（</t>
    </r>
    <r>
      <rPr>
        <sz val="10"/>
        <color rgb="FF5B6577"/>
        <rFont val="Arial"/>
        <family val="0"/>
        <charset val="1"/>
      </rPr>
      <t xml:space="preserve">US East, Linux x86</t>
    </r>
    <r>
      <rPr>
        <sz val="10"/>
        <color rgb="FF5B6577"/>
        <rFont val="Calibri"/>
        <family val="2"/>
        <charset val="1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</si>
  <si>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AWS Fargate </t>
    </r>
    <r>
      <rPr>
        <sz val="10"/>
        <color rgb="FF000000"/>
        <rFont val="Calibri"/>
        <family val="2"/>
        <charset val="1"/>
      </rPr>
      <t xml:space="preserve">メモリ</t>
    </r>
  </si>
  <si>
    <r>
      <rPr>
        <sz val="10"/>
        <color rgb="FF000000"/>
        <rFont val="Arial"/>
        <family val="0"/>
        <charset val="1"/>
      </rPr>
      <t xml:space="preserve">USD/GB </t>
    </r>
    <r>
      <rPr>
        <sz val="10"/>
        <color rgb="FF000000"/>
        <rFont val="Calibri"/>
        <family val="2"/>
        <charset val="1"/>
      </rPr>
      <t xml:space="preserve">時</t>
    </r>
  </si>
  <si>
    <t xml:space="preserve">同上</t>
  </si>
  <si>
    <r>
      <rPr>
        <sz val="10"/>
        <color rgb="FF000000"/>
        <rFont val="Arial"/>
        <family val="0"/>
        <charset val="1"/>
      </rPr>
      <t xml:space="preserve">AWS ALB </t>
    </r>
    <r>
      <rPr>
        <sz val="10"/>
        <color rgb="FF000000"/>
        <rFont val="Calibri"/>
        <family val="2"/>
        <charset val="1"/>
      </rPr>
      <t xml:space="preserve">固定</t>
    </r>
  </si>
  <si>
    <r>
      <rPr>
        <sz val="10"/>
        <color rgb="FF000000"/>
        <rFont val="Arial"/>
        <family val="0"/>
        <charset val="1"/>
      </rPr>
      <t xml:space="preserve">USD/</t>
    </r>
    <r>
      <rPr>
        <sz val="10"/>
        <color rgb="FF000000"/>
        <rFont val="Calibri"/>
        <family val="2"/>
        <charset val="1"/>
      </rPr>
      <t xml:space="preserve">時</t>
    </r>
  </si>
  <si>
    <r>
      <rPr>
        <sz val="10"/>
        <color rgb="FF5B6577"/>
        <rFont val="Arial"/>
        <family val="0"/>
        <charset val="1"/>
      </rPr>
      <t xml:space="preserve">https://aws.amazon.com/elasticloadbalancing/pricing</t>
    </r>
    <r>
      <rPr>
        <sz val="10"/>
        <color rgb="FF5B6577"/>
        <rFont val="Calibri"/>
        <family val="2"/>
        <charset val="1"/>
      </rPr>
      <t xml:space="preserve">。</t>
    </r>
    <r>
      <rPr>
        <sz val="10"/>
        <color rgb="FF5B6577"/>
        <rFont val="Arial"/>
        <family val="0"/>
        <charset val="1"/>
      </rPr>
      <t xml:space="preserve">LCU </t>
    </r>
    <r>
      <rPr>
        <sz val="10"/>
        <color rgb="FF5B6577"/>
        <rFont val="Calibri"/>
        <family val="2"/>
        <charset val="1"/>
      </rPr>
      <t xml:space="preserve">は別行</t>
    </r>
  </si>
  <si>
    <t xml:space="preserve">AWS NAT Gateway</t>
  </si>
  <si>
    <r>
      <rPr>
        <sz val="10"/>
        <color rgb="FF5B6577"/>
        <rFont val="Calibri"/>
        <family val="2"/>
        <charset val="1"/>
      </rPr>
      <t xml:space="preserve">データ処理料は別途。</t>
    </r>
    <r>
      <rPr>
        <sz val="10"/>
        <color rgb="FF5B6577"/>
        <rFont val="Arial"/>
        <family val="0"/>
        <charset val="1"/>
      </rPr>
      <t xml:space="preserve">VPC </t>
    </r>
    <r>
      <rPr>
        <sz val="10"/>
        <color rgb="FF5B6577"/>
        <rFont val="Calibri"/>
        <family val="2"/>
        <charset val="1"/>
      </rPr>
      <t xml:space="preserve">エンドポイントで回避可</t>
    </r>
  </si>
  <si>
    <r>
      <rPr>
        <sz val="10"/>
        <color rgb="FF000000"/>
        <rFont val="Arial"/>
        <family val="0"/>
        <charset val="1"/>
      </rPr>
      <t xml:space="preserve">GCP Cloud Run vCPU</t>
    </r>
    <r>
      <rPr>
        <sz val="10"/>
        <color rgb="FF000000"/>
        <rFont val="Calibri"/>
        <family val="2"/>
        <charset val="1"/>
      </rPr>
      <t xml:space="preserve">（常時割当）</t>
    </r>
  </si>
  <si>
    <r>
      <rPr>
        <sz val="10"/>
        <color rgb="FF000000"/>
        <rFont val="Arial"/>
        <family val="0"/>
        <charset val="1"/>
      </rPr>
      <t xml:space="preserve">USD/vCPU </t>
    </r>
    <r>
      <rPr>
        <sz val="10"/>
        <color rgb="FF000000"/>
        <rFont val="Calibri"/>
        <family val="2"/>
        <charset val="1"/>
      </rPr>
      <t xml:space="preserve">秒</t>
    </r>
  </si>
  <si>
    <r>
      <rPr>
        <sz val="10"/>
        <color rgb="FF5B6577"/>
        <rFont val="Arial"/>
        <family val="0"/>
        <charset val="1"/>
      </rPr>
      <t xml:space="preserve">https://cloud.google.com/run/pricing</t>
    </r>
    <r>
      <rPr>
        <sz val="10"/>
        <color rgb="FF5B6577"/>
        <rFont val="Calibri"/>
        <family val="2"/>
        <charset val="1"/>
      </rPr>
      <t xml:space="preserve">（</t>
    </r>
    <r>
      <rPr>
        <sz val="10"/>
        <color rgb="FF5B6577"/>
        <rFont val="Arial"/>
        <family val="0"/>
        <charset val="1"/>
      </rPr>
      <t xml:space="preserve">Tier 1</t>
    </r>
    <r>
      <rPr>
        <sz val="10"/>
        <color rgb="FF5B6577"/>
        <rFont val="Calibri"/>
        <family val="2"/>
        <charset val="1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</si>
  <si>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GCP Cloud Run </t>
    </r>
    <r>
      <rPr>
        <sz val="10"/>
        <color rgb="FF000000"/>
        <rFont val="Calibri"/>
        <family val="2"/>
        <charset val="1"/>
      </rPr>
      <t xml:space="preserve">メモリ（常時割当）</t>
    </r>
  </si>
  <si>
    <r>
      <rPr>
        <sz val="10"/>
        <color rgb="FF000000"/>
        <rFont val="Arial"/>
        <family val="0"/>
        <charset val="1"/>
      </rPr>
      <t xml:space="preserve">USD/GiB </t>
    </r>
    <r>
      <rPr>
        <sz val="10"/>
        <color rgb="FF000000"/>
        <rFont val="Calibri"/>
        <family val="2"/>
        <charset val="1"/>
      </rPr>
      <t xml:space="preserve">秒</t>
    </r>
  </si>
  <si>
    <t xml:space="preserve">Neo4j AuraDB Professional</t>
  </si>
  <si>
    <r>
      <rPr>
        <sz val="10"/>
        <color rgb="FF000000"/>
        <rFont val="Arial"/>
        <family val="0"/>
        <charset val="1"/>
      </rPr>
      <t xml:space="preserve">USD/GB </t>
    </r>
    <r>
      <rPr>
        <sz val="10"/>
        <color rgb="FF000000"/>
        <rFont val="Calibri"/>
        <family val="2"/>
        <charset val="1"/>
      </rPr>
      <t xml:space="preserve">月</t>
    </r>
  </si>
  <si>
    <t xml:space="preserve">https://neo4j.com/pricing</t>
  </si>
  <si>
    <t xml:space="preserve">Amazon Neptune Serverless</t>
  </si>
  <si>
    <r>
      <rPr>
        <sz val="10"/>
        <color rgb="FF000000"/>
        <rFont val="Arial"/>
        <family val="0"/>
        <charset val="1"/>
      </rPr>
      <t xml:space="preserve">USD/NCU </t>
    </r>
    <r>
      <rPr>
        <sz val="10"/>
        <color rgb="FF000000"/>
        <rFont val="Calibri"/>
        <family val="2"/>
        <charset val="1"/>
      </rPr>
      <t xml:space="preserve">時</t>
    </r>
  </si>
  <si>
    <r>
      <rPr>
        <sz val="10"/>
        <color rgb="FF5B6577"/>
        <rFont val="Arial"/>
        <family val="0"/>
        <charset val="1"/>
      </rPr>
      <t xml:space="preserve">https://aws.amazon.com/neptune/pricing</t>
    </r>
    <r>
      <rPr>
        <sz val="10"/>
        <color rgb="FF5B6577"/>
        <rFont val="Calibri"/>
        <family val="2"/>
        <charset val="1"/>
      </rPr>
      <t xml:space="preserve">（</t>
    </r>
    <r>
      <rPr>
        <sz val="10"/>
        <color rgb="FF5B6577"/>
        <rFont val="Arial"/>
        <family val="0"/>
        <charset val="1"/>
      </rPr>
      <t xml:space="preserve">Aura </t>
    </r>
    <r>
      <rPr>
        <sz val="10"/>
        <color rgb="FF5B6577"/>
        <rFont val="Calibri"/>
        <family val="2"/>
        <charset val="1"/>
      </rPr>
      <t xml:space="preserve">代替の参考）</t>
    </r>
  </si>
  <si>
    <r>
      <rPr>
        <sz val="10"/>
        <color rgb="FF000000"/>
        <rFont val="Arial"/>
        <family val="0"/>
        <charset val="1"/>
      </rPr>
      <t xml:space="preserve">Cloud Spanner</t>
    </r>
    <r>
      <rPr>
        <sz val="10"/>
        <color rgb="FF000000"/>
        <rFont val="Calibri"/>
        <family val="2"/>
        <charset val="1"/>
      </rPr>
      <t xml:space="preserve">（</t>
    </r>
    <r>
      <rPr>
        <sz val="10"/>
        <color rgb="FF000000"/>
        <rFont val="Arial"/>
        <family val="0"/>
        <charset val="1"/>
      </rPr>
      <t xml:space="preserve">Enterprise, 100 PU</t>
    </r>
    <r>
      <rPr>
        <sz val="10"/>
        <color rgb="FF000000"/>
        <rFont val="Calibri"/>
        <family val="2"/>
        <charset val="1"/>
      </rPr>
      <t xml:space="preserve">）</t>
    </r>
  </si>
  <si>
    <r>
      <rPr>
        <sz val="10"/>
        <color rgb="FF000000"/>
        <rFont val="Arial"/>
        <family val="0"/>
        <charset val="1"/>
      </rPr>
      <t xml:space="preserve">USD/100PU </t>
    </r>
    <r>
      <rPr>
        <sz val="10"/>
        <color rgb="FF000000"/>
        <rFont val="Calibri"/>
        <family val="2"/>
        <charset val="1"/>
      </rPr>
      <t xml:space="preserve">時</t>
    </r>
  </si>
  <si>
    <r>
      <rPr>
        <sz val="10"/>
        <color rgb="FF5B6577"/>
        <rFont val="Arial"/>
        <family val="0"/>
        <charset val="1"/>
      </rPr>
      <t xml:space="preserve">https://cloud.google.com/spanner/pricing</t>
    </r>
    <r>
      <rPr>
        <sz val="10"/>
        <color rgb="FF5B6577"/>
        <rFont val="Calibri"/>
        <family val="2"/>
        <charset val="1"/>
      </rPr>
      <t xml:space="preserve">（</t>
    </r>
    <r>
      <rPr>
        <sz val="10"/>
        <color rgb="FF5B6577"/>
        <rFont val="Arial"/>
        <family val="0"/>
        <charset val="1"/>
      </rPr>
      <t xml:space="preserve">Aura </t>
    </r>
    <r>
      <rPr>
        <sz val="10"/>
        <color rgb="FF5B6577"/>
        <rFont val="Calibri"/>
        <family val="2"/>
        <charset val="1"/>
      </rPr>
      <t xml:space="preserve">代替の参考）</t>
    </r>
  </si>
  <si>
    <r>
      <rPr>
        <sz val="10"/>
        <color rgb="FF000000"/>
        <rFont val="Arial"/>
        <family val="0"/>
        <charset val="1"/>
      </rPr>
      <t xml:space="preserve">Claude Sonnet 5.5 </t>
    </r>
    <r>
      <rPr>
        <sz val="10"/>
        <color rgb="FF000000"/>
        <rFont val="Calibri"/>
        <family val="2"/>
        <charset val="1"/>
      </rPr>
      <t xml:space="preserve">入力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Calibri"/>
        <family val="2"/>
        <charset val="1"/>
      </rPr>
      <t xml:space="preserve">出力</t>
    </r>
  </si>
  <si>
    <t xml:space="preserve">2 / 10</t>
  </si>
  <si>
    <t xml:space="preserve">USD/1M tokens</t>
  </si>
  <si>
    <r>
      <rPr>
        <sz val="10"/>
        <color rgb="FF5B6577"/>
        <rFont val="Arial"/>
        <family val="0"/>
        <charset val="1"/>
      </rPr>
      <t xml:space="preserve">https://www.anthropic.com/pricing</t>
    </r>
    <r>
      <rPr>
        <sz val="10"/>
        <color rgb="FF5B6577"/>
        <rFont val="Calibri"/>
        <family val="2"/>
        <charset val="1"/>
      </rPr>
      <t xml:space="preserve">。</t>
    </r>
    <r>
      <rPr>
        <sz val="10"/>
        <color rgb="FF5B6577"/>
        <rFont val="Arial"/>
        <family val="0"/>
        <charset val="1"/>
      </rPr>
      <t xml:space="preserve">Bedrock / Vertex AI </t>
    </r>
    <r>
      <rPr>
        <sz val="10"/>
        <color rgb="FF5B6577"/>
        <rFont val="Calibri"/>
        <family val="2"/>
        <charset val="1"/>
      </rPr>
      <t xml:space="preserve">も同水準</t>
    </r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</si>
  <si>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Calibri"/>
        <family val="2"/>
        <charset val="1"/>
      </rPr>
      <t xml:space="preserve">入力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Calibri"/>
        <family val="2"/>
        <charset val="1"/>
      </rPr>
      <t xml:space="preserve">出力</t>
    </r>
  </si>
  <si>
    <t xml:space="preserve">4 / 20</t>
  </si>
  <si>
    <r>
      <rPr>
        <sz val="10"/>
        <color rgb="FF5B6577"/>
        <rFont val="Calibri"/>
        <family val="2"/>
        <charset val="1"/>
      </rPr>
      <t xml:space="preserve">凡例</t>
    </r>
    <r>
      <rPr>
        <sz val="10"/>
        <color rgb="FF5B6577"/>
        <rFont val="Arial"/>
        <family val="0"/>
        <charset val="1"/>
      </rPr>
      <t xml:space="preserve">: </t>
    </r>
    <r>
      <rPr>
        <sz val="10"/>
        <color rgb="FF5B6577"/>
        <rFont val="Calibri"/>
        <family val="2"/>
        <charset val="1"/>
      </rPr>
      <t xml:space="preserve">黄色セル（青字）</t>
    </r>
    <r>
      <rPr>
        <sz val="10"/>
        <color rgb="FF5B6577"/>
        <rFont val="Arial"/>
        <family val="0"/>
        <charset val="1"/>
      </rPr>
      <t xml:space="preserve">= </t>
    </r>
    <r>
      <rPr>
        <sz val="10"/>
        <color rgb="FF5B6577"/>
        <rFont val="Calibri"/>
        <family val="2"/>
        <charset val="1"/>
      </rPr>
      <t xml:space="preserve">入力値。黒字 </t>
    </r>
    <r>
      <rPr>
        <sz val="10"/>
        <color rgb="FF5B6577"/>
        <rFont val="Arial"/>
        <family val="0"/>
        <charset val="1"/>
      </rPr>
      <t xml:space="preserve">= </t>
    </r>
    <r>
      <rPr>
        <sz val="10"/>
        <color rgb="FF5B6577"/>
        <rFont val="Calibri"/>
        <family val="2"/>
        <charset val="1"/>
      </rPr>
      <t xml:space="preserve">数式。緑字 </t>
    </r>
    <r>
      <rPr>
        <sz val="10"/>
        <color rgb="FF5B6577"/>
        <rFont val="Arial"/>
        <family val="0"/>
        <charset val="1"/>
      </rPr>
      <t xml:space="preserve">= </t>
    </r>
    <r>
      <rPr>
        <sz val="10"/>
        <color rgb="FF5B6577"/>
        <rFont val="Calibri"/>
        <family val="2"/>
        <charset val="1"/>
      </rPr>
      <t xml:space="preserve">他シート参照。金額の単位は各列の見出しに記載。</t>
    </r>
  </si>
  <si>
    <t xml:space="preserve">開発期間中の費用 — 月別・項目別（円）</t>
  </si>
  <si>
    <r>
      <rPr>
        <sz val="10"/>
        <color rgb="FF5B6577"/>
        <rFont val="Calibri"/>
        <family val="2"/>
        <charset val="1"/>
      </rPr>
      <t xml:space="preserve">人件費 </t>
    </r>
    <r>
      <rPr>
        <sz val="10"/>
        <color rgb="FF5B6577"/>
        <rFont val="Arial"/>
        <family val="0"/>
        <charset val="1"/>
      </rPr>
      <t xml:space="preserve">= </t>
    </r>
    <r>
      <rPr>
        <sz val="10"/>
        <color rgb="FF5B6577"/>
        <rFont val="Calibri"/>
        <family val="2"/>
        <charset val="1"/>
      </rPr>
      <t xml:space="preserve">人月単価 </t>
    </r>
    <r>
      <rPr>
        <sz val="10"/>
        <color rgb="FF5B6577"/>
        <rFont val="Arial"/>
        <family val="0"/>
        <charset val="1"/>
      </rPr>
      <t xml:space="preserve">× </t>
    </r>
    <r>
      <rPr>
        <sz val="10"/>
        <color rgb="FF5B6577"/>
        <rFont val="Calibri"/>
        <family val="2"/>
        <charset val="1"/>
      </rPr>
      <t xml:space="preserve">稼働（前提シート）。クラウド費 </t>
    </r>
    <r>
      <rPr>
        <sz val="10"/>
        <color rgb="FF5B6577"/>
        <rFont val="Arial"/>
        <family val="0"/>
        <charset val="1"/>
      </rPr>
      <t xml:space="preserve">= USD × </t>
    </r>
    <r>
      <rPr>
        <sz val="10"/>
        <color rgb="FF5B6577"/>
        <rFont val="Calibri"/>
        <family val="2"/>
        <charset val="1"/>
      </rPr>
      <t xml:space="preserve">為替。シナリオ別の合計は最下段。</t>
    </r>
  </si>
  <si>
    <t xml:space="preserve">区分</t>
  </si>
  <si>
    <r>
      <rPr>
        <b val="true"/>
        <sz val="10"/>
        <color rgb="FF000000"/>
        <rFont val="Arial"/>
        <family val="0"/>
        <charset val="1"/>
      </rPr>
      <t xml:space="preserve">M1 </t>
    </r>
    <r>
      <rPr>
        <b val="true"/>
        <sz val="10"/>
        <color rgb="FF000000"/>
        <rFont val="Calibri"/>
        <family val="2"/>
        <charset val="1"/>
      </rPr>
      <t xml:space="preserve">要件定義</t>
    </r>
  </si>
  <si>
    <r>
      <rPr>
        <b val="true"/>
        <sz val="10"/>
        <color rgb="FF000000"/>
        <rFont val="Arial"/>
        <family val="0"/>
        <charset val="1"/>
      </rPr>
      <t xml:space="preserve">M2 </t>
    </r>
    <r>
      <rPr>
        <b val="true"/>
        <sz val="10"/>
        <color rgb="FF000000"/>
        <rFont val="Calibri"/>
        <family val="2"/>
        <charset val="1"/>
      </rPr>
      <t xml:space="preserve">基本設計</t>
    </r>
  </si>
  <si>
    <r>
      <rPr>
        <b val="true"/>
        <sz val="10"/>
        <color rgb="FF000000"/>
        <rFont val="Arial"/>
        <family val="0"/>
        <charset val="1"/>
      </rPr>
      <t xml:space="preserve">M3 </t>
    </r>
    <r>
      <rPr>
        <b val="true"/>
        <sz val="10"/>
        <color rgb="FF000000"/>
        <rFont val="Calibri"/>
        <family val="2"/>
        <charset val="1"/>
      </rPr>
      <t xml:space="preserve">実装</t>
    </r>
  </si>
  <si>
    <r>
      <rPr>
        <b val="true"/>
        <sz val="10"/>
        <color rgb="FF000000"/>
        <rFont val="Arial"/>
        <family val="0"/>
        <charset val="1"/>
      </rPr>
      <t xml:space="preserve">M4 </t>
    </r>
    <r>
      <rPr>
        <b val="true"/>
        <sz val="10"/>
        <color rgb="FF000000"/>
        <rFont val="Calibri"/>
        <family val="2"/>
        <charset val="1"/>
      </rPr>
      <t xml:space="preserve">実装</t>
    </r>
  </si>
  <si>
    <r>
      <rPr>
        <b val="true"/>
        <sz val="10"/>
        <color rgb="FF000000"/>
        <rFont val="Arial"/>
        <family val="0"/>
        <charset val="1"/>
      </rPr>
      <t xml:space="preserve">M5 </t>
    </r>
    <r>
      <rPr>
        <b val="true"/>
        <sz val="10"/>
        <color rgb="FF000000"/>
        <rFont val="Calibri"/>
        <family val="2"/>
        <charset val="1"/>
      </rPr>
      <t xml:space="preserve">テスト・移行</t>
    </r>
  </si>
  <si>
    <t xml:space="preserve">合計（円）</t>
  </si>
  <si>
    <t xml:space="preserve">人件費（共通）</t>
  </si>
  <si>
    <t xml:space="preserve">人件費</t>
  </si>
  <si>
    <t xml:space="preserve">全期間で同じ稼働を仮定</t>
  </si>
  <si>
    <t xml:space="preserve">人件費 小計</t>
  </si>
  <si>
    <r>
      <rPr>
        <b val="true"/>
        <sz val="10"/>
        <color rgb="FF000000"/>
        <rFont val="Calibri"/>
        <family val="2"/>
        <charset val="1"/>
      </rPr>
      <t xml:space="preserve">クラウド・ツール（</t>
    </r>
    <r>
      <rPr>
        <b val="true"/>
        <sz val="10"/>
        <color rgb="FF000000"/>
        <rFont val="Arial"/>
        <family val="0"/>
        <charset val="1"/>
      </rPr>
      <t xml:space="preserve">AWS</t>
    </r>
    <r>
      <rPr>
        <b val="true"/>
        <sz val="10"/>
        <color rgb="FF000000"/>
        <rFont val="Calibri"/>
        <family val="2"/>
        <charset val="1"/>
      </rPr>
      <t xml:space="preserve">）</t>
    </r>
  </si>
  <si>
    <t xml:space="preserve">クラウド等</t>
  </si>
  <si>
    <r>
      <rPr>
        <b val="true"/>
        <sz val="10"/>
        <color rgb="FF000000"/>
        <rFont val="Calibri"/>
        <family val="2"/>
        <charset val="1"/>
      </rPr>
      <t xml:space="preserve">クラウド・ツール（</t>
    </r>
    <r>
      <rPr>
        <b val="true"/>
        <sz val="10"/>
        <color rgb="FF000000"/>
        <rFont val="Arial"/>
        <family val="0"/>
        <charset val="1"/>
      </rPr>
      <t xml:space="preserve">AWS</t>
    </r>
    <r>
      <rPr>
        <b val="true"/>
        <sz val="10"/>
        <color rgb="FF000000"/>
        <rFont val="Calibri"/>
        <family val="2"/>
        <charset val="1"/>
      </rPr>
      <t xml:space="preserve">） 小計</t>
    </r>
  </si>
  <si>
    <r>
      <rPr>
        <b val="true"/>
        <sz val="10"/>
        <color rgb="FF000000"/>
        <rFont val="Calibri"/>
        <family val="2"/>
        <charset val="1"/>
      </rPr>
      <t xml:space="preserve">クラウド・ツール（</t>
    </r>
    <r>
      <rPr>
        <b val="true"/>
        <sz val="10"/>
        <color rgb="FF000000"/>
        <rFont val="Arial"/>
        <family val="0"/>
        <charset val="1"/>
      </rPr>
      <t xml:space="preserve">GCP</t>
    </r>
    <r>
      <rPr>
        <b val="true"/>
        <sz val="10"/>
        <color rgb="FF000000"/>
        <rFont val="Calibri"/>
        <family val="2"/>
        <charset val="1"/>
      </rPr>
      <t xml:space="preserve">）</t>
    </r>
  </si>
  <si>
    <r>
      <rPr>
        <b val="true"/>
        <sz val="10"/>
        <color rgb="FF000000"/>
        <rFont val="Calibri"/>
        <family val="2"/>
        <charset val="1"/>
      </rPr>
      <t xml:space="preserve">クラウド・ツール（</t>
    </r>
    <r>
      <rPr>
        <b val="true"/>
        <sz val="10"/>
        <color rgb="FF000000"/>
        <rFont val="Arial"/>
        <family val="0"/>
        <charset val="1"/>
      </rPr>
      <t xml:space="preserve">GCP</t>
    </r>
    <r>
      <rPr>
        <b val="true"/>
        <sz val="10"/>
        <color rgb="FF000000"/>
        <rFont val="Calibri"/>
        <family val="2"/>
        <charset val="1"/>
      </rPr>
      <t xml:space="preserve">） 小計</t>
    </r>
  </si>
  <si>
    <t xml:space="preserve">シナリオ別の追加工数（円）</t>
  </si>
  <si>
    <t xml:space="preserve">追加工数</t>
  </si>
  <si>
    <t xml:space="preserve">シナリオ別 合計（円）</t>
  </si>
  <si>
    <t xml:space="preserve">予備費率</t>
  </si>
  <si>
    <r>
      <rPr>
        <sz val="10"/>
        <color rgb="FF5B6577"/>
        <rFont val="Calibri"/>
        <family val="2"/>
        <charset val="1"/>
      </rPr>
      <t xml:space="preserve">推奨予算 </t>
    </r>
    <r>
      <rPr>
        <sz val="10"/>
        <color rgb="FF5B6577"/>
        <rFont val="Arial"/>
        <family val="0"/>
        <charset val="1"/>
      </rPr>
      <t xml:space="preserve">= </t>
    </r>
    <r>
      <rPr>
        <sz val="10"/>
        <color rgb="FF5B6577"/>
        <rFont val="Calibri"/>
        <family val="2"/>
        <charset val="1"/>
      </rPr>
      <t xml:space="preserve">合計 </t>
    </r>
    <r>
      <rPr>
        <sz val="10"/>
        <color rgb="FF5B6577"/>
        <rFont val="Arial"/>
        <family val="0"/>
        <charset val="1"/>
      </rPr>
      <t xml:space="preserve">× (1 + </t>
    </r>
    <r>
      <rPr>
        <sz val="10"/>
        <color rgb="FF5B6577"/>
        <rFont val="Calibri"/>
        <family val="2"/>
        <charset val="1"/>
      </rPr>
      <t xml:space="preserve">予備費率</t>
    </r>
    <r>
      <rPr>
        <sz val="10"/>
        <color rgb="FF5B6577"/>
        <rFont val="Arial"/>
        <family val="0"/>
        <charset val="1"/>
      </rPr>
      <t xml:space="preserve">)</t>
    </r>
  </si>
  <si>
    <r>
      <rPr>
        <b val="true"/>
        <sz val="10"/>
        <color rgb="FF000000"/>
        <rFont val="Arial"/>
        <family val="0"/>
        <charset val="1"/>
      </rPr>
      <t xml:space="preserve">A. </t>
    </r>
    <r>
      <rPr>
        <b val="true"/>
        <sz val="10"/>
        <color rgb="FF000000"/>
        <rFont val="Calibri"/>
        <family val="2"/>
        <charset val="1"/>
      </rPr>
      <t xml:space="preserve">予備費込み（推奨予算）</t>
    </r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</si>
  <si>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Calibri"/>
        <family val="2"/>
        <charset val="1"/>
      </rPr>
      <t xml:space="preserve">予備費込み（推奨予算）</t>
    </r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</si>
  <si>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Calibri"/>
        <family val="2"/>
        <charset val="1"/>
      </rPr>
      <t xml:space="preserve">予備費込み（推奨予算）</t>
    </r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</si>
  <si>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Calibri"/>
        <family val="2"/>
        <charset val="1"/>
      </rPr>
      <t xml:space="preserve">予備費込み（推奨予算）</t>
    </r>
  </si>
  <si>
    <r>
      <rPr>
        <b val="true"/>
        <sz val="12"/>
        <color rgb="FF000000"/>
        <rFont val="Calibri"/>
        <family val="2"/>
        <charset val="1"/>
      </rPr>
      <t xml:space="preserve">運用費（</t>
    </r>
    <r>
      <rPr>
        <b val="true"/>
        <sz val="12"/>
        <color rgb="FF000000"/>
        <rFont val="Arial"/>
        <family val="0"/>
        <charset val="1"/>
      </rPr>
      <t xml:space="preserve">AWS</t>
    </r>
    <r>
      <rPr>
        <b val="true"/>
        <sz val="12"/>
        <color rgb="FF000000"/>
        <rFont val="Calibri"/>
        <family val="2"/>
        <charset val="1"/>
      </rPr>
      <t xml:space="preserve">）— 月別・サービス別（</t>
    </r>
    <r>
      <rPr>
        <b val="true"/>
        <sz val="12"/>
        <color rgb="FF000000"/>
        <rFont val="Arial"/>
        <family val="0"/>
        <charset val="1"/>
      </rPr>
      <t xml:space="preserve">USD</t>
    </r>
    <r>
      <rPr>
        <b val="true"/>
        <sz val="12"/>
        <color rgb="FF000000"/>
        <rFont val="Calibri"/>
        <family val="2"/>
        <charset val="1"/>
      </rPr>
      <t xml:space="preserve">）。最下段に円換算と人件費。運用開始を </t>
    </r>
    <r>
      <rPr>
        <b val="true"/>
        <sz val="12"/>
        <color rgb="FF000000"/>
        <rFont val="Arial"/>
        <family val="0"/>
        <charset val="1"/>
      </rPr>
      <t xml:space="preserve">1 </t>
    </r>
    <r>
      <rPr>
        <b val="true"/>
        <sz val="12"/>
        <color rgb="FF000000"/>
        <rFont val="Calibri"/>
        <family val="2"/>
        <charset val="1"/>
      </rPr>
      <t xml:space="preserve">か月目とし、切替月以降は中規模の数量を使用。</t>
    </r>
  </si>
  <si>
    <r>
      <rPr>
        <sz val="10"/>
        <color rgb="FF5B6577"/>
        <rFont val="Calibri"/>
        <family val="2"/>
        <charset val="1"/>
      </rPr>
      <t xml:space="preserve">数量（小規模 </t>
    </r>
    <r>
      <rPr>
        <sz val="10"/>
        <color rgb="FF5B6577"/>
        <rFont val="Arial"/>
        <family val="0"/>
        <charset val="1"/>
      </rPr>
      <t xml:space="preserve">/ </t>
    </r>
    <r>
      <rPr>
        <sz val="10"/>
        <color rgb="FF5B6577"/>
        <rFont val="Calibri"/>
        <family val="2"/>
        <charset val="1"/>
      </rPr>
      <t xml:space="preserve">中規模）は黄色セルで変更可。月額 </t>
    </r>
    <r>
      <rPr>
        <sz val="10"/>
        <color rgb="FF5B6577"/>
        <rFont val="Arial"/>
        <family val="0"/>
        <charset val="1"/>
      </rPr>
      <t xml:space="preserve">= </t>
    </r>
    <r>
      <rPr>
        <sz val="10"/>
        <color rgb="FF5B6577"/>
        <rFont val="Calibri"/>
        <family val="2"/>
        <charset val="1"/>
      </rPr>
      <t xml:space="preserve">単価 </t>
    </r>
    <r>
      <rPr>
        <sz val="10"/>
        <color rgb="FF5B6577"/>
        <rFont val="Arial"/>
        <family val="0"/>
        <charset val="1"/>
      </rPr>
      <t xml:space="preserve">× </t>
    </r>
    <r>
      <rPr>
        <sz val="10"/>
        <color rgb="FF5B6577"/>
        <rFont val="Calibri"/>
        <family val="2"/>
        <charset val="1"/>
      </rPr>
      <t xml:space="preserve">数量 </t>
    </r>
    <r>
      <rPr>
        <sz val="10"/>
        <color rgb="FF5B6577"/>
        <rFont val="Arial"/>
        <family val="0"/>
        <charset val="1"/>
      </rPr>
      <t xml:space="preserve">× </t>
    </r>
    <r>
      <rPr>
        <sz val="10"/>
        <color rgb="FF5B6577"/>
        <rFont val="Calibri"/>
        <family val="2"/>
        <charset val="1"/>
      </rPr>
      <t xml:space="preserve">稼働時間（固定費項目は月額 </t>
    </r>
    <r>
      <rPr>
        <sz val="10"/>
        <color rgb="FF5B6577"/>
        <rFont val="Arial"/>
        <family val="0"/>
        <charset val="1"/>
      </rPr>
      <t xml:space="preserve">USD </t>
    </r>
    <r>
      <rPr>
        <sz val="10"/>
        <color rgb="FF5B6577"/>
        <rFont val="Calibri"/>
        <family val="2"/>
        <charset val="1"/>
      </rPr>
      <t xml:space="preserve">を直接入力）。</t>
    </r>
  </si>
  <si>
    <t xml:space="preserve">サービス</t>
  </si>
  <si>
    <t xml:space="preserve">計算</t>
  </si>
  <si>
    <t xml:space="preserve">数量 小規模</t>
  </si>
  <si>
    <t xml:space="preserve">数量 中規模</t>
  </si>
  <si>
    <r>
      <rPr>
        <b val="true"/>
        <sz val="10"/>
        <color rgb="FF000000"/>
        <rFont val="Arial"/>
        <family val="0"/>
        <charset val="1"/>
      </rPr>
      <t xml:space="preserve">1</t>
    </r>
    <r>
      <rPr>
        <b val="true"/>
        <sz val="10"/>
        <color rgb="FF000000"/>
        <rFont val="Calibri"/>
        <family val="2"/>
        <charset val="1"/>
      </rPr>
      <t xml:space="preserve">か月目</t>
    </r>
  </si>
  <si>
    <r>
      <rPr>
        <b val="true"/>
        <sz val="10"/>
        <color rgb="FF000000"/>
        <rFont val="Arial"/>
        <family val="0"/>
        <charset val="1"/>
      </rPr>
      <t xml:space="preserve">2</t>
    </r>
    <r>
      <rPr>
        <b val="true"/>
        <sz val="10"/>
        <color rgb="FF000000"/>
        <rFont val="Calibri"/>
        <family val="2"/>
        <charset val="1"/>
      </rPr>
      <t xml:space="preserve">か月目</t>
    </r>
  </si>
  <si>
    <r>
      <rPr>
        <b val="true"/>
        <sz val="10"/>
        <color rgb="FF000000"/>
        <rFont val="Arial"/>
        <family val="0"/>
        <charset val="1"/>
      </rPr>
      <t xml:space="preserve">3</t>
    </r>
    <r>
      <rPr>
        <b val="true"/>
        <sz val="10"/>
        <color rgb="FF000000"/>
        <rFont val="Calibri"/>
        <family val="2"/>
        <charset val="1"/>
      </rPr>
      <t xml:space="preserve">か月目</t>
    </r>
  </si>
  <si>
    <r>
      <rPr>
        <b val="true"/>
        <sz val="10"/>
        <color rgb="FF000000"/>
        <rFont val="Arial"/>
        <family val="0"/>
        <charset val="1"/>
      </rPr>
      <t xml:space="preserve">4</t>
    </r>
    <r>
      <rPr>
        <b val="true"/>
        <sz val="10"/>
        <color rgb="FF000000"/>
        <rFont val="Calibri"/>
        <family val="2"/>
        <charset val="1"/>
      </rPr>
      <t xml:space="preserve">か月目</t>
    </r>
  </si>
  <si>
    <r>
      <rPr>
        <b val="true"/>
        <sz val="10"/>
        <color rgb="FF000000"/>
        <rFont val="Arial"/>
        <family val="0"/>
        <charset val="1"/>
      </rPr>
      <t xml:space="preserve">5</t>
    </r>
    <r>
      <rPr>
        <b val="true"/>
        <sz val="10"/>
        <color rgb="FF000000"/>
        <rFont val="Calibri"/>
        <family val="2"/>
        <charset val="1"/>
      </rPr>
      <t xml:space="preserve">か月目</t>
    </r>
  </si>
  <si>
    <r>
      <rPr>
        <b val="true"/>
        <sz val="10"/>
        <color rgb="FF000000"/>
        <rFont val="Arial"/>
        <family val="0"/>
        <charset val="1"/>
      </rPr>
      <t xml:space="preserve">6</t>
    </r>
    <r>
      <rPr>
        <b val="true"/>
        <sz val="10"/>
        <color rgb="FF000000"/>
        <rFont val="Calibri"/>
        <family val="2"/>
        <charset val="1"/>
      </rPr>
      <t xml:space="preserve">か月目</t>
    </r>
  </si>
  <si>
    <r>
      <rPr>
        <b val="true"/>
        <sz val="10"/>
        <color rgb="FF000000"/>
        <rFont val="Arial"/>
        <family val="0"/>
        <charset val="1"/>
      </rPr>
      <t xml:space="preserve">7</t>
    </r>
    <r>
      <rPr>
        <b val="true"/>
        <sz val="10"/>
        <color rgb="FF000000"/>
        <rFont val="Calibri"/>
        <family val="2"/>
        <charset val="1"/>
      </rPr>
      <t xml:space="preserve">か月目</t>
    </r>
  </si>
  <si>
    <r>
      <rPr>
        <b val="true"/>
        <sz val="10"/>
        <color rgb="FF000000"/>
        <rFont val="Arial"/>
        <family val="0"/>
        <charset val="1"/>
      </rPr>
      <t xml:space="preserve">8</t>
    </r>
    <r>
      <rPr>
        <b val="true"/>
        <sz val="10"/>
        <color rgb="FF000000"/>
        <rFont val="Calibri"/>
        <family val="2"/>
        <charset val="1"/>
      </rPr>
      <t xml:space="preserve">か月目</t>
    </r>
  </si>
  <si>
    <r>
      <rPr>
        <b val="true"/>
        <sz val="10"/>
        <color rgb="FF000000"/>
        <rFont val="Arial"/>
        <family val="0"/>
        <charset val="1"/>
      </rPr>
      <t xml:space="preserve">9</t>
    </r>
    <r>
      <rPr>
        <b val="true"/>
        <sz val="10"/>
        <color rgb="FF000000"/>
        <rFont val="Calibri"/>
        <family val="2"/>
        <charset val="1"/>
      </rPr>
      <t xml:space="preserve">か月目</t>
    </r>
  </si>
  <si>
    <r>
      <rPr>
        <b val="true"/>
        <sz val="10"/>
        <color rgb="FF000000"/>
        <rFont val="Arial"/>
        <family val="0"/>
        <charset val="1"/>
      </rPr>
      <t xml:space="preserve">10</t>
    </r>
    <r>
      <rPr>
        <b val="true"/>
        <sz val="10"/>
        <color rgb="FF000000"/>
        <rFont val="Calibri"/>
        <family val="2"/>
        <charset val="1"/>
      </rPr>
      <t xml:space="preserve">か月目</t>
    </r>
  </si>
  <si>
    <r>
      <rPr>
        <b val="true"/>
        <sz val="10"/>
        <color rgb="FF000000"/>
        <rFont val="Arial"/>
        <family val="0"/>
        <charset val="1"/>
      </rPr>
      <t xml:space="preserve">11</t>
    </r>
    <r>
      <rPr>
        <b val="true"/>
        <sz val="10"/>
        <color rgb="FF000000"/>
        <rFont val="Calibri"/>
        <family val="2"/>
        <charset val="1"/>
      </rPr>
      <t xml:space="preserve">か月目</t>
    </r>
  </si>
  <si>
    <r>
      <rPr>
        <b val="true"/>
        <sz val="10"/>
        <color rgb="FF000000"/>
        <rFont val="Arial"/>
        <family val="0"/>
        <charset val="1"/>
      </rPr>
      <t xml:space="preserve">12</t>
    </r>
    <r>
      <rPr>
        <b val="true"/>
        <sz val="10"/>
        <color rgb="FF000000"/>
        <rFont val="Calibri"/>
        <family val="2"/>
        <charset val="1"/>
      </rPr>
      <t xml:space="preserve">か月目</t>
    </r>
  </si>
  <si>
    <r>
      <rPr>
        <b val="true"/>
        <sz val="10"/>
        <color rgb="FF000000"/>
        <rFont val="Arial"/>
        <family val="0"/>
        <charset val="1"/>
      </rPr>
      <t xml:space="preserve">13</t>
    </r>
    <r>
      <rPr>
        <b val="true"/>
        <sz val="10"/>
        <color rgb="FF000000"/>
        <rFont val="Calibri"/>
        <family val="2"/>
        <charset val="1"/>
      </rPr>
      <t xml:space="preserve">か月目</t>
    </r>
  </si>
  <si>
    <r>
      <rPr>
        <b val="true"/>
        <sz val="10"/>
        <color rgb="FF000000"/>
        <rFont val="Arial"/>
        <family val="0"/>
        <charset val="1"/>
      </rPr>
      <t xml:space="preserve">14</t>
    </r>
    <r>
      <rPr>
        <b val="true"/>
        <sz val="10"/>
        <color rgb="FF000000"/>
        <rFont val="Calibri"/>
        <family val="2"/>
        <charset val="1"/>
      </rPr>
      <t xml:space="preserve">か月目</t>
    </r>
  </si>
  <si>
    <r>
      <rPr>
        <b val="true"/>
        <sz val="10"/>
        <color rgb="FF000000"/>
        <rFont val="Arial"/>
        <family val="0"/>
        <charset val="1"/>
      </rPr>
      <t xml:space="preserve">15</t>
    </r>
    <r>
      <rPr>
        <b val="true"/>
        <sz val="10"/>
        <color rgb="FF000000"/>
        <rFont val="Calibri"/>
        <family val="2"/>
        <charset val="1"/>
      </rPr>
      <t xml:space="preserve">か月目</t>
    </r>
  </si>
  <si>
    <r>
      <rPr>
        <b val="true"/>
        <sz val="10"/>
        <color rgb="FF000000"/>
        <rFont val="Arial"/>
        <family val="0"/>
        <charset val="1"/>
      </rPr>
      <t xml:space="preserve">16</t>
    </r>
    <r>
      <rPr>
        <b val="true"/>
        <sz val="10"/>
        <color rgb="FF000000"/>
        <rFont val="Calibri"/>
        <family val="2"/>
        <charset val="1"/>
      </rPr>
      <t xml:space="preserve">か月目</t>
    </r>
  </si>
  <si>
    <r>
      <rPr>
        <b val="true"/>
        <sz val="10"/>
        <color rgb="FF000000"/>
        <rFont val="Arial"/>
        <family val="0"/>
        <charset val="1"/>
      </rPr>
      <t xml:space="preserve">17</t>
    </r>
    <r>
      <rPr>
        <b val="true"/>
        <sz val="10"/>
        <color rgb="FF000000"/>
        <rFont val="Calibri"/>
        <family val="2"/>
        <charset val="1"/>
      </rPr>
      <t xml:space="preserve">か月目</t>
    </r>
  </si>
  <si>
    <r>
      <rPr>
        <b val="true"/>
        <sz val="10"/>
        <color rgb="FF000000"/>
        <rFont val="Arial"/>
        <family val="0"/>
        <charset val="1"/>
      </rPr>
      <t xml:space="preserve">18</t>
    </r>
    <r>
      <rPr>
        <b val="true"/>
        <sz val="10"/>
        <color rgb="FF000000"/>
        <rFont val="Calibri"/>
        <family val="2"/>
        <charset val="1"/>
      </rPr>
      <t xml:space="preserve">か月目</t>
    </r>
  </si>
  <si>
    <r>
      <rPr>
        <b val="true"/>
        <sz val="10"/>
        <color rgb="FF000000"/>
        <rFont val="Arial"/>
        <family val="0"/>
        <charset val="1"/>
      </rPr>
      <t xml:space="preserve">19</t>
    </r>
    <r>
      <rPr>
        <b val="true"/>
        <sz val="10"/>
        <color rgb="FF000000"/>
        <rFont val="Calibri"/>
        <family val="2"/>
        <charset val="1"/>
      </rPr>
      <t xml:space="preserve">か月目</t>
    </r>
  </si>
  <si>
    <r>
      <rPr>
        <b val="true"/>
        <sz val="10"/>
        <color rgb="FF000000"/>
        <rFont val="Arial"/>
        <family val="0"/>
        <charset val="1"/>
      </rPr>
      <t xml:space="preserve">20</t>
    </r>
    <r>
      <rPr>
        <b val="true"/>
        <sz val="10"/>
        <color rgb="FF000000"/>
        <rFont val="Calibri"/>
        <family val="2"/>
        <charset val="1"/>
      </rPr>
      <t xml:space="preserve">か月目</t>
    </r>
  </si>
  <si>
    <r>
      <rPr>
        <b val="true"/>
        <sz val="10"/>
        <color rgb="FF000000"/>
        <rFont val="Arial"/>
        <family val="0"/>
        <charset val="1"/>
      </rPr>
      <t xml:space="preserve">21</t>
    </r>
    <r>
      <rPr>
        <b val="true"/>
        <sz val="10"/>
        <color rgb="FF000000"/>
        <rFont val="Calibri"/>
        <family val="2"/>
        <charset val="1"/>
      </rPr>
      <t xml:space="preserve">か月目</t>
    </r>
  </si>
  <si>
    <r>
      <rPr>
        <b val="true"/>
        <sz val="10"/>
        <color rgb="FF000000"/>
        <rFont val="Arial"/>
        <family val="0"/>
        <charset val="1"/>
      </rPr>
      <t xml:space="preserve">22</t>
    </r>
    <r>
      <rPr>
        <b val="true"/>
        <sz val="10"/>
        <color rgb="FF000000"/>
        <rFont val="Calibri"/>
        <family val="2"/>
        <charset val="1"/>
      </rPr>
      <t xml:space="preserve">か月目</t>
    </r>
  </si>
  <si>
    <r>
      <rPr>
        <b val="true"/>
        <sz val="10"/>
        <color rgb="FF000000"/>
        <rFont val="Arial"/>
        <family val="0"/>
        <charset val="1"/>
      </rPr>
      <t xml:space="preserve">23</t>
    </r>
    <r>
      <rPr>
        <b val="true"/>
        <sz val="10"/>
        <color rgb="FF000000"/>
        <rFont val="Calibri"/>
        <family val="2"/>
        <charset val="1"/>
      </rPr>
      <t xml:space="preserve">か月目</t>
    </r>
  </si>
  <si>
    <r>
      <rPr>
        <b val="true"/>
        <sz val="10"/>
        <color rgb="FF000000"/>
        <rFont val="Arial"/>
        <family val="0"/>
        <charset val="1"/>
      </rPr>
      <t xml:space="preserve">24</t>
    </r>
    <r>
      <rPr>
        <b val="true"/>
        <sz val="10"/>
        <color rgb="FF000000"/>
        <rFont val="Calibri"/>
        <family val="2"/>
        <charset val="1"/>
      </rPr>
      <t xml:space="preserve">か月目</t>
    </r>
  </si>
  <si>
    <r>
      <rPr>
        <b val="true"/>
        <sz val="10"/>
        <color rgb="FF000000"/>
        <rFont val="Arial"/>
        <family val="0"/>
        <charset val="1"/>
      </rPr>
      <t xml:space="preserve">25</t>
    </r>
    <r>
      <rPr>
        <b val="true"/>
        <sz val="10"/>
        <color rgb="FF000000"/>
        <rFont val="Calibri"/>
        <family val="2"/>
        <charset val="1"/>
      </rPr>
      <t xml:space="preserve">か月目</t>
    </r>
  </si>
  <si>
    <r>
      <rPr>
        <b val="true"/>
        <sz val="10"/>
        <color rgb="FF000000"/>
        <rFont val="Arial"/>
        <family val="0"/>
        <charset val="1"/>
      </rPr>
      <t xml:space="preserve">26</t>
    </r>
    <r>
      <rPr>
        <b val="true"/>
        <sz val="10"/>
        <color rgb="FF000000"/>
        <rFont val="Calibri"/>
        <family val="2"/>
        <charset val="1"/>
      </rPr>
      <t xml:space="preserve">か月目</t>
    </r>
  </si>
  <si>
    <r>
      <rPr>
        <b val="true"/>
        <sz val="10"/>
        <color rgb="FF000000"/>
        <rFont val="Arial"/>
        <family val="0"/>
        <charset val="1"/>
      </rPr>
      <t xml:space="preserve">27</t>
    </r>
    <r>
      <rPr>
        <b val="true"/>
        <sz val="10"/>
        <color rgb="FF000000"/>
        <rFont val="Calibri"/>
        <family val="2"/>
        <charset val="1"/>
      </rPr>
      <t xml:space="preserve">か月目</t>
    </r>
  </si>
  <si>
    <r>
      <rPr>
        <b val="true"/>
        <sz val="10"/>
        <color rgb="FF000000"/>
        <rFont val="Arial"/>
        <family val="0"/>
        <charset val="1"/>
      </rPr>
      <t xml:space="preserve">28</t>
    </r>
    <r>
      <rPr>
        <b val="true"/>
        <sz val="10"/>
        <color rgb="FF000000"/>
        <rFont val="Calibri"/>
        <family val="2"/>
        <charset val="1"/>
      </rPr>
      <t xml:space="preserve">か月目</t>
    </r>
  </si>
  <si>
    <r>
      <rPr>
        <b val="true"/>
        <sz val="10"/>
        <color rgb="FF000000"/>
        <rFont val="Arial"/>
        <family val="0"/>
        <charset val="1"/>
      </rPr>
      <t xml:space="preserve">29</t>
    </r>
    <r>
      <rPr>
        <b val="true"/>
        <sz val="10"/>
        <color rgb="FF000000"/>
        <rFont val="Calibri"/>
        <family val="2"/>
        <charset val="1"/>
      </rPr>
      <t xml:space="preserve">か月目</t>
    </r>
  </si>
  <si>
    <r>
      <rPr>
        <b val="true"/>
        <sz val="10"/>
        <color rgb="FF000000"/>
        <rFont val="Arial"/>
        <family val="0"/>
        <charset val="1"/>
      </rPr>
      <t xml:space="preserve">30</t>
    </r>
    <r>
      <rPr>
        <b val="true"/>
        <sz val="10"/>
        <color rgb="FF000000"/>
        <rFont val="Calibri"/>
        <family val="2"/>
        <charset val="1"/>
      </rPr>
      <t xml:space="preserve">か月目</t>
    </r>
  </si>
  <si>
    <r>
      <rPr>
        <b val="true"/>
        <sz val="10"/>
        <color rgb="FF000000"/>
        <rFont val="Arial"/>
        <family val="0"/>
        <charset val="1"/>
      </rPr>
      <t xml:space="preserve">31</t>
    </r>
    <r>
      <rPr>
        <b val="true"/>
        <sz val="10"/>
        <color rgb="FF000000"/>
        <rFont val="Calibri"/>
        <family val="2"/>
        <charset val="1"/>
      </rPr>
      <t xml:space="preserve">か月目</t>
    </r>
  </si>
  <si>
    <r>
      <rPr>
        <b val="true"/>
        <sz val="10"/>
        <color rgb="FF000000"/>
        <rFont val="Arial"/>
        <family val="0"/>
        <charset val="1"/>
      </rPr>
      <t xml:space="preserve">32</t>
    </r>
    <r>
      <rPr>
        <b val="true"/>
        <sz val="10"/>
        <color rgb="FF000000"/>
        <rFont val="Calibri"/>
        <family val="2"/>
        <charset val="1"/>
      </rPr>
      <t xml:space="preserve">か月目</t>
    </r>
  </si>
  <si>
    <r>
      <rPr>
        <b val="true"/>
        <sz val="10"/>
        <color rgb="FF000000"/>
        <rFont val="Arial"/>
        <family val="0"/>
        <charset val="1"/>
      </rPr>
      <t xml:space="preserve">33</t>
    </r>
    <r>
      <rPr>
        <b val="true"/>
        <sz val="10"/>
        <color rgb="FF000000"/>
        <rFont val="Calibri"/>
        <family val="2"/>
        <charset val="1"/>
      </rPr>
      <t xml:space="preserve">か月目</t>
    </r>
  </si>
  <si>
    <r>
      <rPr>
        <b val="true"/>
        <sz val="10"/>
        <color rgb="FF000000"/>
        <rFont val="Arial"/>
        <family val="0"/>
        <charset val="1"/>
      </rPr>
      <t xml:space="preserve">34</t>
    </r>
    <r>
      <rPr>
        <b val="true"/>
        <sz val="10"/>
        <color rgb="FF000000"/>
        <rFont val="Calibri"/>
        <family val="2"/>
        <charset val="1"/>
      </rPr>
      <t xml:space="preserve">か月目</t>
    </r>
  </si>
  <si>
    <r>
      <rPr>
        <b val="true"/>
        <sz val="10"/>
        <color rgb="FF000000"/>
        <rFont val="Arial"/>
        <family val="0"/>
        <charset val="1"/>
      </rPr>
      <t xml:space="preserve">35</t>
    </r>
    <r>
      <rPr>
        <b val="true"/>
        <sz val="10"/>
        <color rgb="FF000000"/>
        <rFont val="Calibri"/>
        <family val="2"/>
        <charset val="1"/>
      </rPr>
      <t xml:space="preserve">か月目</t>
    </r>
  </si>
  <si>
    <r>
      <rPr>
        <b val="true"/>
        <sz val="10"/>
        <color rgb="FF000000"/>
        <rFont val="Arial"/>
        <family val="0"/>
        <charset val="1"/>
      </rPr>
      <t xml:space="preserve">36</t>
    </r>
    <r>
      <rPr>
        <b val="true"/>
        <sz val="10"/>
        <color rgb="FF000000"/>
        <rFont val="Calibri"/>
        <family val="2"/>
        <charset val="1"/>
      </rPr>
      <t xml:space="preserve">か月目</t>
    </r>
  </si>
  <si>
    <r>
      <rPr>
        <b val="true"/>
        <sz val="10"/>
        <color rgb="FF000000"/>
        <rFont val="Calibri"/>
        <family val="2"/>
        <charset val="1"/>
      </rPr>
      <t xml:space="preserve">年 </t>
    </r>
    <r>
      <rPr>
        <b val="true"/>
        <sz val="10"/>
        <color rgb="FF000000"/>
        <rFont val="Arial"/>
        <family val="0"/>
        <charset val="1"/>
      </rPr>
      <t xml:space="preserve">1 </t>
    </r>
    <r>
      <rPr>
        <b val="true"/>
        <sz val="10"/>
        <color rgb="FF000000"/>
        <rFont val="Calibri"/>
        <family val="2"/>
        <charset val="1"/>
      </rPr>
      <t xml:space="preserve">合計</t>
    </r>
  </si>
  <si>
    <r>
      <rPr>
        <b val="true"/>
        <sz val="10"/>
        <color rgb="FF000000"/>
        <rFont val="Calibri"/>
        <family val="2"/>
        <charset val="1"/>
      </rPr>
      <t xml:space="preserve">年 </t>
    </r>
    <r>
      <rPr>
        <b val="true"/>
        <sz val="10"/>
        <color rgb="FF000000"/>
        <rFont val="Arial"/>
        <family val="0"/>
        <charset val="1"/>
      </rPr>
      <t xml:space="preserve">2 </t>
    </r>
    <r>
      <rPr>
        <b val="true"/>
        <sz val="10"/>
        <color rgb="FF000000"/>
        <rFont val="Calibri"/>
        <family val="2"/>
        <charset val="1"/>
      </rPr>
      <t xml:space="preserve">合計</t>
    </r>
  </si>
  <si>
    <r>
      <rPr>
        <b val="true"/>
        <sz val="10"/>
        <color rgb="FF000000"/>
        <rFont val="Calibri"/>
        <family val="2"/>
        <charset val="1"/>
      </rPr>
      <t xml:space="preserve">年 </t>
    </r>
    <r>
      <rPr>
        <b val="true"/>
        <sz val="10"/>
        <color rgb="FF000000"/>
        <rFont val="Arial"/>
        <family val="0"/>
        <charset val="1"/>
      </rPr>
      <t xml:space="preserve">3 </t>
    </r>
    <r>
      <rPr>
        <b val="true"/>
        <sz val="10"/>
        <color rgb="FF000000"/>
        <rFont val="Calibri"/>
        <family val="2"/>
        <charset val="1"/>
      </rPr>
      <t xml:space="preserve">合計</t>
    </r>
  </si>
  <si>
    <r>
      <rPr>
        <b val="true"/>
        <sz val="10"/>
        <color rgb="FF000000"/>
        <rFont val="Arial"/>
        <family val="0"/>
        <charset val="1"/>
      </rPr>
      <t xml:space="preserve">3 </t>
    </r>
    <r>
      <rPr>
        <b val="true"/>
        <sz val="10"/>
        <color rgb="FF000000"/>
        <rFont val="Calibri"/>
        <family val="2"/>
        <charset val="1"/>
      </rPr>
      <t xml:space="preserve">年合計</t>
    </r>
  </si>
  <si>
    <t xml:space="preserve">本番環境</t>
  </si>
  <si>
    <t xml:space="preserve">コンピュート</t>
  </si>
  <si>
    <r>
      <rPr>
        <sz val="10"/>
        <color rgb="FF000000"/>
        <rFont val="Arial"/>
        <family val="0"/>
        <charset val="1"/>
      </rPr>
      <t xml:space="preserve">Backend: ECS Fargate</t>
    </r>
    <r>
      <rPr>
        <sz val="10"/>
        <color rgb="FF000000"/>
        <rFont val="Calibri"/>
        <family val="2"/>
        <charset val="1"/>
      </rPr>
      <t xml:space="preserve">（</t>
    </r>
    <r>
      <rPr>
        <sz val="10"/>
        <color rgb="FF000000"/>
        <rFont val="Arial"/>
        <family val="0"/>
        <charset val="1"/>
      </rPr>
      <t xml:space="preserve">1 vCPU × 2GB / </t>
    </r>
    <r>
      <rPr>
        <sz val="10"/>
        <color rgb="FF000000"/>
        <rFont val="Calibri"/>
        <family val="2"/>
        <charset val="1"/>
      </rPr>
      <t xml:space="preserve">タスク）</t>
    </r>
  </si>
  <si>
    <r>
      <rPr>
        <sz val="10"/>
        <color rgb="FF5B6577"/>
        <rFont val="Calibri"/>
        <family val="2"/>
        <charset val="1"/>
      </rPr>
      <t xml:space="preserve">台数 </t>
    </r>
    <r>
      <rPr>
        <sz val="10"/>
        <color rgb="FF5B6577"/>
        <rFont val="Arial"/>
        <family val="0"/>
        <charset val="1"/>
      </rPr>
      <t xml:space="preserve">× (vCPU </t>
    </r>
    <r>
      <rPr>
        <sz val="10"/>
        <color rgb="FF5B6577"/>
        <rFont val="Calibri"/>
        <family val="2"/>
        <charset val="1"/>
      </rPr>
      <t xml:space="preserve">単価 </t>
    </r>
    <r>
      <rPr>
        <sz val="10"/>
        <color rgb="FF5B6577"/>
        <rFont val="Arial"/>
        <family val="0"/>
        <charset val="1"/>
      </rPr>
      <t xml:space="preserve">+ 2 × </t>
    </r>
    <r>
      <rPr>
        <sz val="10"/>
        <color rgb="FF5B6577"/>
        <rFont val="Calibri"/>
        <family val="2"/>
        <charset val="1"/>
      </rPr>
      <t xml:space="preserve">メモリ単価</t>
    </r>
    <r>
      <rPr>
        <sz val="10"/>
        <color rgb="FF5B6577"/>
        <rFont val="Arial"/>
        <family val="0"/>
        <charset val="1"/>
      </rPr>
      <t xml:space="preserve">) × </t>
    </r>
    <r>
      <rPr>
        <sz val="10"/>
        <color rgb="FF5B6577"/>
        <rFont val="Calibri"/>
        <family val="2"/>
        <charset val="1"/>
      </rPr>
      <t xml:space="preserve">稼働時間</t>
    </r>
  </si>
  <si>
    <t xml:space="preserve">タスク</t>
  </si>
  <si>
    <r>
      <rPr>
        <sz val="10"/>
        <color rgb="FF000000"/>
        <rFont val="Arial"/>
        <family val="0"/>
        <charset val="1"/>
      </rPr>
      <t xml:space="preserve">Frontend: ECS Fargate</t>
    </r>
    <r>
      <rPr>
        <sz val="10"/>
        <color rgb="FF000000"/>
        <rFont val="Calibri"/>
        <family val="2"/>
        <charset val="1"/>
      </rPr>
      <t xml:space="preserve">（</t>
    </r>
    <r>
      <rPr>
        <sz val="10"/>
        <color rgb="FF000000"/>
        <rFont val="Arial"/>
        <family val="0"/>
        <charset val="1"/>
      </rPr>
      <t xml:space="preserve">0.5 vCPU × 1GB / </t>
    </r>
    <r>
      <rPr>
        <sz val="10"/>
        <color rgb="FF000000"/>
        <rFont val="Calibri"/>
        <family val="2"/>
        <charset val="1"/>
      </rPr>
      <t xml:space="preserve">タスク）</t>
    </r>
  </si>
  <si>
    <r>
      <rPr>
        <sz val="10"/>
        <color rgb="FF5B6577"/>
        <rFont val="Calibri"/>
        <family val="2"/>
        <charset val="1"/>
      </rPr>
      <t xml:space="preserve">台数 </t>
    </r>
    <r>
      <rPr>
        <sz val="10"/>
        <color rgb="FF5B6577"/>
        <rFont val="Arial"/>
        <family val="0"/>
        <charset val="1"/>
      </rPr>
      <t xml:space="preserve">× (0.5 × vCPU </t>
    </r>
    <r>
      <rPr>
        <sz val="10"/>
        <color rgb="FF5B6577"/>
        <rFont val="Calibri"/>
        <family val="2"/>
        <charset val="1"/>
      </rPr>
      <t xml:space="preserve">単価 </t>
    </r>
    <r>
      <rPr>
        <sz val="10"/>
        <color rgb="FF5B6577"/>
        <rFont val="Arial"/>
        <family val="0"/>
        <charset val="1"/>
      </rPr>
      <t xml:space="preserve">+ 1 × </t>
    </r>
    <r>
      <rPr>
        <sz val="10"/>
        <color rgb="FF5B6577"/>
        <rFont val="Calibri"/>
        <family val="2"/>
        <charset val="1"/>
      </rPr>
      <t xml:space="preserve">メモリ単価</t>
    </r>
    <r>
      <rPr>
        <sz val="10"/>
        <color rgb="FF5B6577"/>
        <rFont val="Arial"/>
        <family val="0"/>
        <charset val="1"/>
      </rPr>
      <t xml:space="preserve">) × </t>
    </r>
    <r>
      <rPr>
        <sz val="10"/>
        <color rgb="FF5B6577"/>
        <rFont val="Calibri"/>
        <family val="2"/>
        <charset val="1"/>
      </rPr>
      <t xml:space="preserve">稼働時間</t>
    </r>
  </si>
  <si>
    <t xml:space="preserve">ネットワーク</t>
  </si>
  <si>
    <r>
      <rPr>
        <sz val="10"/>
        <color rgb="FF000000"/>
        <rFont val="Arial"/>
        <family val="0"/>
        <charset val="1"/>
      </rPr>
      <t xml:space="preserve">Application Load Balancer </t>
    </r>
    <r>
      <rPr>
        <sz val="10"/>
        <color rgb="FF000000"/>
        <rFont val="Calibri"/>
        <family val="2"/>
        <charset val="1"/>
      </rPr>
      <t xml:space="preserve">固定費</t>
    </r>
  </si>
  <si>
    <r>
      <rPr>
        <sz val="10"/>
        <color rgb="FF5B6577"/>
        <rFont val="Calibri"/>
        <family val="2"/>
        <charset val="1"/>
      </rPr>
      <t xml:space="preserve">台数 </t>
    </r>
    <r>
      <rPr>
        <sz val="10"/>
        <color rgb="FF5B6577"/>
        <rFont val="Arial"/>
        <family val="0"/>
        <charset val="1"/>
      </rPr>
      <t xml:space="preserve">× </t>
    </r>
    <r>
      <rPr>
        <sz val="10"/>
        <color rgb="FF5B6577"/>
        <rFont val="Calibri"/>
        <family val="2"/>
        <charset val="1"/>
      </rPr>
      <t xml:space="preserve">時間単価 </t>
    </r>
    <r>
      <rPr>
        <sz val="10"/>
        <color rgb="FF5B6577"/>
        <rFont val="Arial"/>
        <family val="0"/>
        <charset val="1"/>
      </rPr>
      <t xml:space="preserve">× </t>
    </r>
    <r>
      <rPr>
        <sz val="10"/>
        <color rgb="FF5B6577"/>
        <rFont val="Calibri"/>
        <family val="2"/>
        <charset val="1"/>
      </rPr>
      <t xml:space="preserve">稼働時間</t>
    </r>
  </si>
  <si>
    <t xml:space="preserve">台</t>
  </si>
  <si>
    <r>
      <rPr>
        <sz val="10"/>
        <color rgb="FF000000"/>
        <rFont val="Arial"/>
        <family val="0"/>
        <charset val="1"/>
      </rPr>
      <t xml:space="preserve">ALB LCU</t>
    </r>
    <r>
      <rPr>
        <sz val="10"/>
        <color rgb="FF000000"/>
        <rFont val="Calibri"/>
        <family val="2"/>
        <charset val="1"/>
      </rPr>
      <t xml:space="preserve">（トラフィック従量）</t>
    </r>
  </si>
  <si>
    <t xml:space="preserve">月額（見積）</t>
  </si>
  <si>
    <r>
      <rPr>
        <sz val="10"/>
        <color rgb="FF000000"/>
        <rFont val="Arial"/>
        <family val="0"/>
        <charset val="1"/>
      </rPr>
      <t xml:space="preserve">USD/</t>
    </r>
    <r>
      <rPr>
        <sz val="10"/>
        <color rgb="FF000000"/>
        <rFont val="Calibri"/>
        <family val="2"/>
        <charset val="1"/>
      </rPr>
      <t xml:space="preserve">月</t>
    </r>
  </si>
  <si>
    <t xml:space="preserve">NAT Gateway</t>
  </si>
  <si>
    <r>
      <rPr>
        <sz val="10"/>
        <color rgb="FF5B6577"/>
        <rFont val="Calibri"/>
        <family val="2"/>
        <charset val="1"/>
      </rPr>
      <t xml:space="preserve">台数 </t>
    </r>
    <r>
      <rPr>
        <sz val="10"/>
        <color rgb="FF5B6577"/>
        <rFont val="Arial"/>
        <family val="0"/>
        <charset val="1"/>
      </rPr>
      <t xml:space="preserve">× </t>
    </r>
    <r>
      <rPr>
        <sz val="10"/>
        <color rgb="FF5B6577"/>
        <rFont val="Calibri"/>
        <family val="2"/>
        <charset val="1"/>
      </rPr>
      <t xml:space="preserve">時間単価 </t>
    </r>
    <r>
      <rPr>
        <sz val="10"/>
        <color rgb="FF5B6577"/>
        <rFont val="Arial"/>
        <family val="0"/>
        <charset val="1"/>
      </rPr>
      <t xml:space="preserve">× </t>
    </r>
    <r>
      <rPr>
        <sz val="10"/>
        <color rgb="FF5B6577"/>
        <rFont val="Calibri"/>
        <family val="2"/>
        <charset val="1"/>
      </rPr>
      <t xml:space="preserve">稼働時間 </t>
    </r>
    <r>
      <rPr>
        <sz val="10"/>
        <color rgb="FF5B6577"/>
        <rFont val="Arial"/>
        <family val="0"/>
        <charset val="1"/>
      </rPr>
      <t xml:space="preserve">+ </t>
    </r>
    <r>
      <rPr>
        <sz val="10"/>
        <color rgb="FF5B6577"/>
        <rFont val="Calibri"/>
        <family val="2"/>
        <charset val="1"/>
      </rPr>
      <t xml:space="preserve">データ処理 </t>
    </r>
    <r>
      <rPr>
        <sz val="10"/>
        <color rgb="FF5B6577"/>
        <rFont val="Arial"/>
        <family val="0"/>
        <charset val="1"/>
      </rPr>
      <t xml:space="preserve">$3</t>
    </r>
  </si>
  <si>
    <t xml:space="preserve">データベース</t>
  </si>
  <si>
    <r>
      <rPr>
        <sz val="10"/>
        <color rgb="FF000000"/>
        <rFont val="Arial"/>
        <family val="0"/>
        <charset val="1"/>
      </rPr>
      <t xml:space="preserve">Neo4j AuraDB Professional</t>
    </r>
    <r>
      <rPr>
        <sz val="10"/>
        <color rgb="FF000000"/>
        <rFont val="Calibri"/>
        <family val="2"/>
        <charset val="1"/>
      </rPr>
      <t xml:space="preserve">（本番）</t>
    </r>
  </si>
  <si>
    <r>
      <rPr>
        <sz val="10"/>
        <color rgb="FF5B6577"/>
        <rFont val="Arial"/>
        <family val="0"/>
        <charset val="1"/>
      </rPr>
      <t xml:space="preserve">GB × </t>
    </r>
    <r>
      <rPr>
        <sz val="10"/>
        <color rgb="FF5B6577"/>
        <rFont val="Calibri"/>
        <family val="2"/>
        <charset val="1"/>
      </rPr>
      <t xml:space="preserve">単価</t>
    </r>
  </si>
  <si>
    <t xml:space="preserve">GB</t>
  </si>
  <si>
    <t xml:space="preserve">バッチ</t>
  </si>
  <si>
    <t xml:space="preserve">Collector: ECS Scheduled Task / Lambda + EventBridge</t>
  </si>
  <si>
    <t xml:space="preserve">運用基盤</t>
  </si>
  <si>
    <t xml:space="preserve">CloudWatch Logs / Metrics / Alarms</t>
  </si>
  <si>
    <r>
      <rPr>
        <sz val="10"/>
        <color rgb="FF5B6577"/>
        <rFont val="Calibri"/>
        <family val="2"/>
        <charset val="1"/>
      </rPr>
      <t xml:space="preserve">月額（見積</t>
    </r>
    <r>
      <rPr>
        <sz val="10"/>
        <color rgb="FF5B6577"/>
        <rFont val="Arial"/>
        <family val="0"/>
        <charset val="1"/>
      </rPr>
      <t xml:space="preserve">, </t>
    </r>
    <r>
      <rPr>
        <sz val="10"/>
        <color rgb="FF5B6577"/>
        <rFont val="Calibri"/>
        <family val="2"/>
        <charset val="1"/>
      </rPr>
      <t xml:space="preserve">保持 </t>
    </r>
    <r>
      <rPr>
        <sz val="10"/>
        <color rgb="FF5B6577"/>
        <rFont val="Arial"/>
        <family val="0"/>
        <charset val="1"/>
      </rPr>
      <t xml:space="preserve">30 </t>
    </r>
    <r>
      <rPr>
        <sz val="10"/>
        <color rgb="FF5B6577"/>
        <rFont val="Calibri"/>
        <family val="2"/>
        <charset val="1"/>
      </rPr>
      <t xml:space="preserve">日）</t>
    </r>
  </si>
  <si>
    <r>
      <rPr>
        <sz val="10"/>
        <color rgb="FF000000"/>
        <rFont val="Arial"/>
        <family val="0"/>
        <charset val="1"/>
      </rPr>
      <t xml:space="preserve">Cognito</t>
    </r>
    <r>
      <rPr>
        <sz val="10"/>
        <color rgb="FF000000"/>
        <rFont val="Calibri"/>
        <family val="2"/>
        <charset val="1"/>
      </rPr>
      <t xml:space="preserve">（認証）</t>
    </r>
  </si>
  <si>
    <r>
      <rPr>
        <sz val="10"/>
        <color rgb="FF5B6577"/>
        <rFont val="Calibri"/>
        <family val="2"/>
        <charset val="1"/>
      </rPr>
      <t xml:space="preserve">月額（</t>
    </r>
    <r>
      <rPr>
        <sz val="10"/>
        <color rgb="FF5B6577"/>
        <rFont val="Arial"/>
        <family val="0"/>
        <charset val="1"/>
      </rPr>
      <t xml:space="preserve">50 </t>
    </r>
    <r>
      <rPr>
        <sz val="10"/>
        <color rgb="FF5B6577"/>
        <rFont val="Calibri"/>
        <family val="2"/>
        <charset val="1"/>
      </rPr>
      <t xml:space="preserve">名まで無料枠）</t>
    </r>
  </si>
  <si>
    <t xml:space="preserve">Secrets Manager / ECR / Route 53</t>
  </si>
  <si>
    <r>
      <rPr>
        <sz val="10"/>
        <color rgb="FF000000"/>
        <rFont val="Calibri"/>
        <family val="2"/>
        <charset val="1"/>
      </rPr>
      <t xml:space="preserve">バックアップ </t>
    </r>
    <r>
      <rPr>
        <sz val="10"/>
        <color rgb="FF000000"/>
        <rFont val="Arial"/>
        <family val="0"/>
        <charset val="1"/>
      </rPr>
      <t xml:space="preserve">/ S3</t>
    </r>
    <r>
      <rPr>
        <sz val="10"/>
        <color rgb="FF000000"/>
        <rFont val="Calibri"/>
        <family val="2"/>
        <charset val="1"/>
      </rPr>
      <t xml:space="preserve">（ログ・エクスポート）</t>
    </r>
  </si>
  <si>
    <t xml:space="preserve">AI</t>
  </si>
  <si>
    <r>
      <rPr>
        <sz val="10"/>
        <color rgb="FF000000"/>
        <rFont val="Arial"/>
        <family val="0"/>
        <charset val="1"/>
      </rPr>
      <t xml:space="preserve">Amazon Bedrock</t>
    </r>
    <r>
      <rPr>
        <sz val="10"/>
        <color rgb="FF000000"/>
        <rFont val="Calibri"/>
        <family val="2"/>
        <charset val="1"/>
      </rPr>
      <t xml:space="preserve">（</t>
    </r>
    <r>
      <rPr>
        <sz val="10"/>
        <color rgb="FF000000"/>
        <rFont val="Arial"/>
        <family val="0"/>
        <charset val="1"/>
      </rPr>
      <t xml:space="preserve">Claude Sonnet 5.5 / Opus 5.5</t>
    </r>
    <r>
      <rPr>
        <sz val="10"/>
        <color rgb="FF000000"/>
        <rFont val="Calibri"/>
        <family val="2"/>
        <charset val="1"/>
      </rPr>
      <t xml:space="preserve">）</t>
    </r>
  </si>
  <si>
    <r>
      <rPr>
        <sz val="10"/>
        <color rgb="FF5B6577"/>
        <rFont val="Calibri"/>
        <family val="2"/>
        <charset val="1"/>
      </rPr>
      <t xml:space="preserve">月額（</t>
    </r>
    <r>
      <rPr>
        <sz val="10"/>
        <color rgb="FF5B6577"/>
        <rFont val="Arial"/>
        <family val="0"/>
        <charset val="1"/>
      </rPr>
      <t xml:space="preserve">AI </t>
    </r>
    <r>
      <rPr>
        <sz val="10"/>
        <color rgb="FF5B6577"/>
        <rFont val="Calibri"/>
        <family val="2"/>
        <charset val="1"/>
      </rPr>
      <t xml:space="preserve">活用 第 </t>
    </r>
    <r>
      <rPr>
        <sz val="10"/>
        <color rgb="FF5B6577"/>
        <rFont val="Arial"/>
        <family val="0"/>
        <charset val="1"/>
      </rPr>
      <t xml:space="preserve">1 </t>
    </r>
    <r>
      <rPr>
        <sz val="10"/>
        <color rgb="FF5B6577"/>
        <rFont val="Calibri"/>
        <family val="2"/>
        <charset val="1"/>
      </rPr>
      <t xml:space="preserve">弾の試算）</t>
    </r>
  </si>
  <si>
    <r>
      <rPr>
        <b val="true"/>
        <sz val="10"/>
        <color rgb="FF000000"/>
        <rFont val="Calibri"/>
        <family val="2"/>
        <charset val="1"/>
      </rPr>
      <t xml:space="preserve">本番 小計（</t>
    </r>
    <r>
      <rPr>
        <b val="true"/>
        <sz val="10"/>
        <color rgb="FF000000"/>
        <rFont val="Arial"/>
        <family val="0"/>
        <charset val="1"/>
      </rPr>
      <t xml:space="preserve">USD</t>
    </r>
    <r>
      <rPr>
        <b val="true"/>
        <sz val="10"/>
        <color rgb="FF000000"/>
        <rFont val="Calibri"/>
        <family val="2"/>
        <charset val="1"/>
      </rPr>
      <t xml:space="preserve">）</t>
    </r>
  </si>
  <si>
    <t xml:space="preserve">ステージング環境</t>
  </si>
  <si>
    <t xml:space="preserve">コンピュート・ネットワーク・バッチ・運用基盤（本番比）</t>
  </si>
  <si>
    <r>
      <rPr>
        <sz val="10"/>
        <color rgb="FF5B6577"/>
        <rFont val="Arial"/>
        <family val="0"/>
        <charset val="1"/>
      </rPr>
      <t xml:space="preserve">(</t>
    </r>
    <r>
      <rPr>
        <sz val="10"/>
        <color rgb="FF5B6577"/>
        <rFont val="Calibri"/>
        <family val="2"/>
        <charset val="1"/>
      </rPr>
      <t xml:space="preserve">本番小計 − </t>
    </r>
    <r>
      <rPr>
        <sz val="10"/>
        <color rgb="FF5B6577"/>
        <rFont val="Arial"/>
        <family val="0"/>
        <charset val="1"/>
      </rPr>
      <t xml:space="preserve">DB − AI) × </t>
    </r>
    <r>
      <rPr>
        <sz val="10"/>
        <color rgb="FF5B6577"/>
        <rFont val="Calibri"/>
        <family val="2"/>
        <charset val="1"/>
      </rPr>
      <t xml:space="preserve">ステージング比率</t>
    </r>
  </si>
  <si>
    <r>
      <rPr>
        <sz val="10"/>
        <color rgb="FF000000"/>
        <rFont val="Arial"/>
        <family val="0"/>
        <charset val="1"/>
      </rPr>
      <t xml:space="preserve">Neo4j AuraDB Professional</t>
    </r>
    <r>
      <rPr>
        <sz val="10"/>
        <color rgb="FF000000"/>
        <rFont val="Calibri"/>
        <family val="2"/>
        <charset val="1"/>
      </rPr>
      <t xml:space="preserve">（ステージング）</t>
    </r>
  </si>
  <si>
    <r>
      <rPr>
        <b val="true"/>
        <sz val="10"/>
        <color rgb="FF000000"/>
        <rFont val="Calibri"/>
        <family val="2"/>
        <charset val="1"/>
      </rPr>
      <t xml:space="preserve">ステージング 小計（</t>
    </r>
    <r>
      <rPr>
        <b val="true"/>
        <sz val="10"/>
        <color rgb="FF000000"/>
        <rFont val="Arial"/>
        <family val="0"/>
        <charset val="1"/>
      </rPr>
      <t xml:space="preserve">USD</t>
    </r>
    <r>
      <rPr>
        <b val="true"/>
        <sz val="10"/>
        <color rgb="FF000000"/>
        <rFont val="Calibri"/>
        <family val="2"/>
        <charset val="1"/>
      </rPr>
      <t xml:space="preserve">）</t>
    </r>
  </si>
  <si>
    <r>
      <rPr>
        <b val="true"/>
        <sz val="10"/>
        <color rgb="FF000000"/>
        <rFont val="Calibri"/>
        <family val="2"/>
        <charset val="1"/>
      </rPr>
      <t xml:space="preserve">クラウド合計（</t>
    </r>
    <r>
      <rPr>
        <b val="true"/>
        <sz val="10"/>
        <color rgb="FF000000"/>
        <rFont val="Arial"/>
        <family val="0"/>
        <charset val="1"/>
      </rPr>
      <t xml:space="preserve">USD</t>
    </r>
    <r>
      <rPr>
        <b val="true"/>
        <sz val="10"/>
        <color rgb="FF000000"/>
        <rFont val="Calibri"/>
        <family val="2"/>
        <charset val="1"/>
      </rPr>
      <t xml:space="preserve">）</t>
    </r>
  </si>
  <si>
    <t xml:space="preserve">保守・運用の人件費（円）</t>
  </si>
  <si>
    <r>
      <rPr>
        <sz val="10"/>
        <color rgb="FF5B6577"/>
        <rFont val="Calibri"/>
        <family val="2"/>
        <charset val="1"/>
      </rPr>
      <t xml:space="preserve">人月 </t>
    </r>
    <r>
      <rPr>
        <sz val="10"/>
        <color rgb="FF5B6577"/>
        <rFont val="Arial"/>
        <family val="0"/>
        <charset val="1"/>
      </rPr>
      <t xml:space="preserve">× </t>
    </r>
    <r>
      <rPr>
        <sz val="10"/>
        <color rgb="FF5B6577"/>
        <rFont val="Calibri"/>
        <family val="2"/>
        <charset val="1"/>
      </rPr>
      <t xml:space="preserve">単価（前提）</t>
    </r>
  </si>
  <si>
    <t xml:space="preserve">運用費 総合計（円）</t>
  </si>
  <si>
    <r>
      <rPr>
        <b val="true"/>
        <sz val="12"/>
        <color rgb="FF000000"/>
        <rFont val="Calibri"/>
        <family val="2"/>
        <charset val="1"/>
      </rPr>
      <t xml:space="preserve">運用費（</t>
    </r>
    <r>
      <rPr>
        <b val="true"/>
        <sz val="12"/>
        <color rgb="FF000000"/>
        <rFont val="Arial"/>
        <family val="0"/>
        <charset val="1"/>
      </rPr>
      <t xml:space="preserve">GCP</t>
    </r>
    <r>
      <rPr>
        <b val="true"/>
        <sz val="12"/>
        <color rgb="FF000000"/>
        <rFont val="Calibri"/>
        <family val="2"/>
        <charset val="1"/>
      </rPr>
      <t xml:space="preserve">）— 月別・サービス別（</t>
    </r>
    <r>
      <rPr>
        <b val="true"/>
        <sz val="12"/>
        <color rgb="FF000000"/>
        <rFont val="Arial"/>
        <family val="0"/>
        <charset val="1"/>
      </rPr>
      <t xml:space="preserve">USD</t>
    </r>
    <r>
      <rPr>
        <b val="true"/>
        <sz val="12"/>
        <color rgb="FF000000"/>
        <rFont val="Calibri"/>
        <family val="2"/>
        <charset val="1"/>
      </rPr>
      <t xml:space="preserve">）。最下段に円換算と人件費。運用開始を </t>
    </r>
    <r>
      <rPr>
        <b val="true"/>
        <sz val="12"/>
        <color rgb="FF000000"/>
        <rFont val="Arial"/>
        <family val="0"/>
        <charset val="1"/>
      </rPr>
      <t xml:space="preserve">1 </t>
    </r>
    <r>
      <rPr>
        <b val="true"/>
        <sz val="12"/>
        <color rgb="FF000000"/>
        <rFont val="Calibri"/>
        <family val="2"/>
        <charset val="1"/>
      </rPr>
      <t xml:space="preserve">か月目とし、切替月以降は中規模の数量を使用。</t>
    </r>
  </si>
  <si>
    <r>
      <rPr>
        <sz val="10"/>
        <color rgb="FF000000"/>
        <rFont val="Arial"/>
        <family val="0"/>
        <charset val="1"/>
      </rPr>
      <t xml:space="preserve">Backend: Cloud Run</t>
    </r>
    <r>
      <rPr>
        <sz val="10"/>
        <color rgb="FF000000"/>
        <rFont val="Calibri"/>
        <family val="2"/>
        <charset val="1"/>
      </rPr>
      <t xml:space="preserve">（</t>
    </r>
    <r>
      <rPr>
        <sz val="10"/>
        <color rgb="FF000000"/>
        <rFont val="Arial"/>
        <family val="0"/>
        <charset val="1"/>
      </rPr>
      <t xml:space="preserve">1 vCPU × 2GiB, </t>
    </r>
    <r>
      <rPr>
        <sz val="10"/>
        <color rgb="FF000000"/>
        <rFont val="Calibri"/>
        <family val="2"/>
        <charset val="1"/>
      </rPr>
      <t xml:space="preserve">常時割当）</t>
    </r>
  </si>
  <si>
    <r>
      <rPr>
        <sz val="10"/>
        <color rgb="FF5B6577"/>
        <rFont val="Calibri"/>
        <family val="2"/>
        <charset val="1"/>
      </rPr>
      <t xml:space="preserve">インスタンス </t>
    </r>
    <r>
      <rPr>
        <sz val="10"/>
        <color rgb="FF5B6577"/>
        <rFont val="Arial"/>
        <family val="0"/>
        <charset val="1"/>
      </rPr>
      <t xml:space="preserve">× (vCPU </t>
    </r>
    <r>
      <rPr>
        <sz val="10"/>
        <color rgb="FF5B6577"/>
        <rFont val="Calibri"/>
        <family val="2"/>
        <charset val="1"/>
      </rPr>
      <t xml:space="preserve">単価 </t>
    </r>
    <r>
      <rPr>
        <sz val="10"/>
        <color rgb="FF5B6577"/>
        <rFont val="Arial"/>
        <family val="0"/>
        <charset val="1"/>
      </rPr>
      <t xml:space="preserve">+ 2 × </t>
    </r>
    <r>
      <rPr>
        <sz val="10"/>
        <color rgb="FF5B6577"/>
        <rFont val="Calibri"/>
        <family val="2"/>
        <charset val="1"/>
      </rPr>
      <t xml:space="preserve">メモリ単価</t>
    </r>
    <r>
      <rPr>
        <sz val="10"/>
        <color rgb="FF5B6577"/>
        <rFont val="Arial"/>
        <family val="0"/>
        <charset val="1"/>
      </rPr>
      <t xml:space="preserve">) × </t>
    </r>
    <r>
      <rPr>
        <sz val="10"/>
        <color rgb="FF5B6577"/>
        <rFont val="Calibri"/>
        <family val="2"/>
        <charset val="1"/>
      </rPr>
      <t xml:space="preserve">稼働時間 </t>
    </r>
    <r>
      <rPr>
        <sz val="10"/>
        <color rgb="FF5B6577"/>
        <rFont val="Arial"/>
        <family val="0"/>
        <charset val="1"/>
      </rPr>
      <t xml:space="preserve">× 3600</t>
    </r>
  </si>
  <si>
    <t xml:space="preserve">インスタンス</t>
  </si>
  <si>
    <r>
      <rPr>
        <sz val="10"/>
        <color rgb="FF000000"/>
        <rFont val="Arial"/>
        <family val="0"/>
        <charset val="1"/>
      </rPr>
      <t xml:space="preserve">Frontend: Cloud Run</t>
    </r>
    <r>
      <rPr>
        <sz val="10"/>
        <color rgb="FF000000"/>
        <rFont val="Calibri"/>
        <family val="2"/>
        <charset val="1"/>
      </rPr>
      <t xml:space="preserve">（</t>
    </r>
    <r>
      <rPr>
        <sz val="10"/>
        <color rgb="FF000000"/>
        <rFont val="Arial"/>
        <family val="0"/>
        <charset val="1"/>
      </rPr>
      <t xml:space="preserve">1 vCPU × 0.5GiB, </t>
    </r>
    <r>
      <rPr>
        <sz val="10"/>
        <color rgb="FF000000"/>
        <rFont val="Calibri"/>
        <family val="2"/>
        <charset val="1"/>
      </rPr>
      <t xml:space="preserve">常時割当）</t>
    </r>
  </si>
  <si>
    <r>
      <rPr>
        <sz val="10"/>
        <color rgb="FF5B6577"/>
        <rFont val="Calibri"/>
        <family val="2"/>
        <charset val="1"/>
      </rPr>
      <t xml:space="preserve">インスタンス </t>
    </r>
    <r>
      <rPr>
        <sz val="10"/>
        <color rgb="FF5B6577"/>
        <rFont val="Arial"/>
        <family val="0"/>
        <charset val="1"/>
      </rPr>
      <t xml:space="preserve">× (vCPU </t>
    </r>
    <r>
      <rPr>
        <sz val="10"/>
        <color rgb="FF5B6577"/>
        <rFont val="Calibri"/>
        <family val="2"/>
        <charset val="1"/>
      </rPr>
      <t xml:space="preserve">単価 </t>
    </r>
    <r>
      <rPr>
        <sz val="10"/>
        <color rgb="FF5B6577"/>
        <rFont val="Arial"/>
        <family val="0"/>
        <charset val="1"/>
      </rPr>
      <t xml:space="preserve">+ 0.5 × </t>
    </r>
    <r>
      <rPr>
        <sz val="10"/>
        <color rgb="FF5B6577"/>
        <rFont val="Calibri"/>
        <family val="2"/>
        <charset val="1"/>
      </rPr>
      <t xml:space="preserve">メモリ単価</t>
    </r>
    <r>
      <rPr>
        <sz val="10"/>
        <color rgb="FF5B6577"/>
        <rFont val="Arial"/>
        <family val="0"/>
        <charset val="1"/>
      </rPr>
      <t xml:space="preserve">) × </t>
    </r>
    <r>
      <rPr>
        <sz val="10"/>
        <color rgb="FF5B6577"/>
        <rFont val="Calibri"/>
        <family val="2"/>
        <charset val="1"/>
      </rPr>
      <t xml:space="preserve">稼働時間 </t>
    </r>
    <r>
      <rPr>
        <sz val="10"/>
        <color rgb="FF5B6577"/>
        <rFont val="Arial"/>
        <family val="0"/>
        <charset val="1"/>
      </rPr>
      <t xml:space="preserve">× 3600</t>
    </r>
  </si>
  <si>
    <r>
      <rPr>
        <sz val="10"/>
        <color rgb="FF000000"/>
        <rFont val="Arial"/>
        <family val="0"/>
        <charset val="1"/>
      </rPr>
      <t xml:space="preserve">External HTTPS Load Balancer</t>
    </r>
    <r>
      <rPr>
        <sz val="10"/>
        <color rgb="FF000000"/>
        <rFont val="Calibri"/>
        <family val="2"/>
        <charset val="1"/>
      </rPr>
      <t xml:space="preserve">（転送ルール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Calibri"/>
        <family val="2"/>
        <charset val="1"/>
      </rPr>
      <t xml:space="preserve">転送量）</t>
    </r>
  </si>
  <si>
    <r>
      <rPr>
        <sz val="10"/>
        <color rgb="FF000000"/>
        <rFont val="Arial"/>
        <family val="0"/>
        <charset val="1"/>
      </rPr>
      <t xml:space="preserve">Serverless VPC Access </t>
    </r>
    <r>
      <rPr>
        <sz val="10"/>
        <color rgb="FF000000"/>
        <rFont val="Calibri"/>
        <family val="2"/>
        <charset val="1"/>
      </rPr>
      <t xml:space="preserve">コネクタ</t>
    </r>
  </si>
  <si>
    <r>
      <rPr>
        <sz val="10"/>
        <color rgb="FF5B6577"/>
        <rFont val="Calibri"/>
        <family val="2"/>
        <charset val="1"/>
      </rPr>
      <t xml:space="preserve">月額（見積</t>
    </r>
    <r>
      <rPr>
        <sz val="10"/>
        <color rgb="FF5B6577"/>
        <rFont val="Arial"/>
        <family val="0"/>
        <charset val="1"/>
      </rPr>
      <t xml:space="preserve">, </t>
    </r>
    <r>
      <rPr>
        <sz val="10"/>
        <color rgb="FF5B6577"/>
        <rFont val="Calibri"/>
        <family val="2"/>
        <charset val="1"/>
      </rPr>
      <t xml:space="preserve">不要な構成も可）</t>
    </r>
  </si>
  <si>
    <t xml:space="preserve">Collector: Cloud Run Jobs + Cloud Scheduler</t>
  </si>
  <si>
    <t xml:space="preserve">Cloud Logging / Monitoring</t>
  </si>
  <si>
    <r>
      <rPr>
        <sz val="10"/>
        <color rgb="FF000000"/>
        <rFont val="Arial"/>
        <family val="0"/>
        <charset val="1"/>
      </rPr>
      <t xml:space="preserve">Identity-Aware Proxy</t>
    </r>
    <r>
      <rPr>
        <sz val="10"/>
        <color rgb="FF000000"/>
        <rFont val="Calibri"/>
        <family val="2"/>
        <charset val="1"/>
      </rPr>
      <t xml:space="preserve">（認証）</t>
    </r>
  </si>
  <si>
    <t xml:space="preserve">無料</t>
  </si>
  <si>
    <t xml:space="preserve">Secret Manager / Artifact Registry / Cloud DNS</t>
  </si>
  <si>
    <r>
      <rPr>
        <sz val="10"/>
        <color rgb="FF000000"/>
        <rFont val="Calibri"/>
        <family val="2"/>
        <charset val="1"/>
      </rPr>
      <t xml:space="preserve">バックアップ </t>
    </r>
    <r>
      <rPr>
        <sz val="10"/>
        <color rgb="FF000000"/>
        <rFont val="Arial"/>
        <family val="0"/>
        <charset val="1"/>
      </rPr>
      <t xml:space="preserve">/ Cloud Storage</t>
    </r>
  </si>
  <si>
    <r>
      <rPr>
        <sz val="10"/>
        <color rgb="FF000000"/>
        <rFont val="Arial"/>
        <family val="0"/>
        <charset val="1"/>
      </rPr>
      <t xml:space="preserve">Vertex AI</t>
    </r>
    <r>
      <rPr>
        <sz val="10"/>
        <color rgb="FF000000"/>
        <rFont val="Calibri"/>
        <family val="2"/>
        <charset val="1"/>
      </rPr>
      <t xml:space="preserve">（</t>
    </r>
    <r>
      <rPr>
        <sz val="10"/>
        <color rgb="FF000000"/>
        <rFont val="Arial"/>
        <family val="0"/>
        <charset val="1"/>
      </rPr>
      <t xml:space="preserve">Claude Sonnet 5.5 / Opus 5.5</t>
    </r>
    <r>
      <rPr>
        <sz val="10"/>
        <color rgb="FF000000"/>
        <rFont val="Calibri"/>
        <family val="2"/>
        <charset val="1"/>
      </rPr>
      <t xml:space="preserve">）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</si>
</sst>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\$#,##0;&quot;($&quot;#,##0\);\-"/>
    <numFmt numFmtId="167" formatCode="0.0%"/>
    <numFmt numFmtId="168" formatCode="\$#,##0.00;&quot;($&quot;#,##0.00\);\-"/>
    <numFmt numFmtId="169" formatCode="0.0000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Arial"/>
      <family val="0"/>
      <charset val="1"/>
    </font>
    <font>
      <b val="true"/>
      <sz val="13"/>
      <color rgb="FF000000"/>
      <name val="Calibri"/>
      <family val="2"/>
      <charset val="1"/>
    </font>
    <font>
      <sz val="10"/>
      <color rgb="FF5B6577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Calibri"/>
      <family val="2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5B6577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0000"/>
      <name val="Calibri"/>
      <family val="2"/>
      <charset val="1"/>
    </font>
    <font>
      <b val="true"/>
      <sz val="12"/>
      <color rgb="FF000000"/>
      <name val="Arial"/>
      <family val="0"/>
      <charset val="1"/>
    </font>
    <font>
      <b val="true"/>
      <sz val="12"/>
      <color rgb="FF000000"/>
      <name val="Calibri"/>
      <family val="2"/>
      <charset val="1"/>
    </font>
    <font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3EC"/>
        <bgColor rgb="FFF2F4F7"/>
      </patternFill>
    </fill>
    <fill>
      <patternFill patternType="solid">
        <fgColor rgb="FFFFFF00"/>
        <bgColor rgb="FFFFFF00"/>
      </patternFill>
    </fill>
    <fill>
      <patternFill patternType="solid">
        <fgColor rgb="FFF2F4F7"/>
        <bgColor rgb="FFDDE3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5CF"/>
      </left>
      <right style="thin">
        <color rgb="FFBFC5CF"/>
      </right>
      <top style="thin">
        <color rgb="FFBFC5CF"/>
      </top>
      <bottom style="thin">
        <color rgb="FFBFC5C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4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5C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E3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577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true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20"/>
    <col collapsed="false" customWidth="true" hidden="false" outlineLevel="0" max="5" min="5" style="0" width="22"/>
    <col collapsed="false" customWidth="true" hidden="false" outlineLevel="0" max="6" min="6" style="0" width="60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  <c r="B4" s="4" t="s">
        <v>2</v>
      </c>
      <c r="C4" s="4" t="s">
        <v>3</v>
      </c>
      <c r="D4" s="4" t="s">
        <v>4</v>
      </c>
      <c r="E4" s="4" t="s">
        <v>5</v>
      </c>
      <c r="F4" s="3" t="s">
        <v>6</v>
      </c>
    </row>
    <row r="5" customFormat="false" ht="15" hidden="false" customHeight="false" outlineLevel="0" collapsed="false">
      <c r="A5" s="5" t="s">
        <v>7</v>
      </c>
      <c r="B5" s="6" t="n">
        <f aca="false">開発費_月別!H35</f>
        <v>32544275</v>
      </c>
      <c r="C5" s="6" t="n">
        <f aca="false">開発費_月別!H36</f>
        <v>33094275</v>
      </c>
      <c r="D5" s="6" t="n">
        <f aca="false">開発費_月別!H37</f>
        <v>32116775</v>
      </c>
      <c r="E5" s="6" t="n">
        <f aca="false">開発費_月別!H38</f>
        <v>34041775</v>
      </c>
      <c r="F5" s="2" t="s">
        <v>8</v>
      </c>
    </row>
    <row r="6" customFormat="false" ht="15" hidden="false" customHeight="false" outlineLevel="0" collapsed="false">
      <c r="A6" s="5" t="s">
        <v>9</v>
      </c>
      <c r="B6" s="6" t="n">
        <f aca="false">開発費_月別!H41</f>
        <v>37425916.25</v>
      </c>
      <c r="C6" s="6" t="n">
        <f aca="false">開発費_月別!H42</f>
        <v>38058416.25</v>
      </c>
      <c r="D6" s="6" t="n">
        <f aca="false">開発費_月別!H43</f>
        <v>36934291.25</v>
      </c>
      <c r="E6" s="6" t="n">
        <f aca="false">開発費_月別!H44</f>
        <v>39148041.25</v>
      </c>
      <c r="F6" s="2" t="s">
        <v>10</v>
      </c>
    </row>
    <row r="7" customFormat="false" ht="15" hidden="false" customHeight="false" outlineLevel="0" collapsed="false">
      <c r="A7" s="5" t="s">
        <v>11</v>
      </c>
      <c r="B7" s="6" t="n">
        <f aca="false">運用費_AWS_月別!AQ26</f>
        <v>892176.156</v>
      </c>
      <c r="C7" s="6" t="n">
        <f aca="false">運用費_AWS_月別!AQ26</f>
        <v>892176.156</v>
      </c>
      <c r="D7" s="6" t="n">
        <f aca="false">運用費_GCP_月別!AQ25</f>
        <v>802344.96</v>
      </c>
      <c r="E7" s="6" t="n">
        <f aca="false">運用費_GCP_月別!AQ25</f>
        <v>802344.96</v>
      </c>
      <c r="F7" s="7" t="s">
        <v>12</v>
      </c>
    </row>
    <row r="8" customFormat="false" ht="15" hidden="false" customHeight="false" outlineLevel="0" collapsed="false">
      <c r="A8" s="5" t="s">
        <v>13</v>
      </c>
      <c r="B8" s="6" t="n">
        <f aca="false">運用費_AWS_月別!AR26</f>
        <v>2935641.312</v>
      </c>
      <c r="C8" s="6" t="n">
        <f aca="false">運用費_AWS_月別!AR26</f>
        <v>2935641.312</v>
      </c>
      <c r="D8" s="6" t="n">
        <f aca="false">運用費_GCP_月別!AR25</f>
        <v>2809506.24</v>
      </c>
      <c r="E8" s="6" t="n">
        <f aca="false">運用費_GCP_月別!AR25</f>
        <v>2809506.24</v>
      </c>
      <c r="F8" s="2"/>
    </row>
    <row r="9" customFormat="false" ht="15" hidden="false" customHeight="false" outlineLevel="0" collapsed="false">
      <c r="A9" s="5" t="s">
        <v>14</v>
      </c>
      <c r="B9" s="6" t="n">
        <f aca="false">運用費_AWS_月別!AS26</f>
        <v>2935641.312</v>
      </c>
      <c r="C9" s="6" t="n">
        <f aca="false">運用費_AWS_月別!AS26</f>
        <v>2935641.312</v>
      </c>
      <c r="D9" s="6" t="n">
        <f aca="false">運用費_GCP_月別!AS25</f>
        <v>2809506.24</v>
      </c>
      <c r="E9" s="6" t="n">
        <f aca="false">運用費_GCP_月別!AS25</f>
        <v>2809506.24</v>
      </c>
      <c r="F9" s="2"/>
    </row>
    <row r="10" customFormat="false" ht="15" hidden="false" customHeight="false" outlineLevel="0" collapsed="false">
      <c r="A10" s="5" t="s">
        <v>15</v>
      </c>
      <c r="B10" s="6" t="n">
        <f aca="false">運用費_AWS_月別!AT27</f>
        <v>28980000</v>
      </c>
      <c r="C10" s="6" t="n">
        <f aca="false">運用費_AWS_月別!AT27</f>
        <v>28980000</v>
      </c>
      <c r="D10" s="6" t="n">
        <f aca="false">運用費_GCP_月別!AT26</f>
        <v>28980000</v>
      </c>
      <c r="E10" s="6" t="n">
        <f aca="false">運用費_GCP_月別!AT26</f>
        <v>28980000</v>
      </c>
      <c r="F10" s="7" t="s">
        <v>16</v>
      </c>
    </row>
    <row r="11" customFormat="false" ht="17.15" hidden="false" customHeight="false" outlineLevel="0" collapsed="false">
      <c r="A11" s="8" t="s">
        <v>17</v>
      </c>
      <c r="B11" s="9" t="n">
        <f aca="false">B5+B7+B8+B9+B10</f>
        <v>68287733.78</v>
      </c>
      <c r="C11" s="9" t="n">
        <f aca="false">C5+C7+C8+C9+C10</f>
        <v>68837733.78</v>
      </c>
      <c r="D11" s="9" t="n">
        <f aca="false">D5+D7+D8+D9+D10</f>
        <v>67518132.44</v>
      </c>
      <c r="E11" s="9" t="n">
        <f aca="false">E5+E7+E8+E9+E10</f>
        <v>69443132.44</v>
      </c>
      <c r="F11" s="2" t="s">
        <v>18</v>
      </c>
    </row>
    <row r="13" customFormat="false" ht="17.15" hidden="false" customHeight="false" outlineLevel="0" collapsed="false">
      <c r="A13" s="10" t="s">
        <v>19</v>
      </c>
    </row>
    <row r="14" customFormat="false" ht="15" hidden="false" customHeight="false" outlineLevel="0" collapsed="false">
      <c r="A14" s="3"/>
      <c r="B14" s="4" t="s">
        <v>20</v>
      </c>
      <c r="C14" s="4" t="s">
        <v>21</v>
      </c>
      <c r="D14" s="4" t="s">
        <v>22</v>
      </c>
      <c r="E14" s="4" t="s">
        <v>23</v>
      </c>
      <c r="F14" s="3" t="s">
        <v>6</v>
      </c>
    </row>
    <row r="15" customFormat="false" ht="15" hidden="false" customHeight="false" outlineLevel="0" collapsed="false">
      <c r="A15" s="5" t="s">
        <v>24</v>
      </c>
      <c r="B15" s="11" t="n">
        <f aca="false">運用費_AWS_月別!G18</f>
        <v>353.7953</v>
      </c>
      <c r="C15" s="11" t="n">
        <f aca="false">運用費_AWS_月別!S18</f>
        <v>1306.9656</v>
      </c>
      <c r="D15" s="11" t="n">
        <f aca="false">運用費_GCP_月別!G17</f>
        <v>318.148</v>
      </c>
      <c r="E15" s="11" t="n">
        <f aca="false">運用費_GCP_月別!S17</f>
        <v>1256.912</v>
      </c>
      <c r="F15" s="2" t="s">
        <v>25</v>
      </c>
    </row>
    <row r="16" customFormat="false" ht="15" hidden="false" customHeight="false" outlineLevel="0" collapsed="false">
      <c r="A16" s="5" t="s">
        <v>26</v>
      </c>
      <c r="B16" s="11" t="n">
        <f aca="false">運用費_AWS_月別!G23</f>
        <v>141.85812</v>
      </c>
      <c r="C16" s="11" t="n">
        <f aca="false">運用費_AWS_月別!S23</f>
        <v>323.94624</v>
      </c>
      <c r="D16" s="11" t="n">
        <f aca="false">運用費_GCP_月別!G22</f>
        <v>127.5992</v>
      </c>
      <c r="E16" s="11" t="n">
        <f aca="false">運用費_GCP_月別!S22</f>
        <v>303.9248</v>
      </c>
      <c r="F16" s="2"/>
    </row>
    <row r="17" customFormat="false" ht="15" hidden="false" customHeight="false" outlineLevel="0" collapsed="false">
      <c r="A17" s="12" t="s">
        <v>27</v>
      </c>
      <c r="B17" s="6" t="n">
        <f aca="false">運用費_AWS_月別!G26</f>
        <v>74348.013</v>
      </c>
      <c r="C17" s="6" t="n">
        <f aca="false">運用費_AWS_月別!S26</f>
        <v>244636.776</v>
      </c>
      <c r="D17" s="6" t="n">
        <f aca="false">運用費_GCP_月別!G25</f>
        <v>66862.08</v>
      </c>
      <c r="E17" s="6" t="n">
        <f aca="false">運用費_GCP_月別!S25</f>
        <v>234125.52</v>
      </c>
      <c r="F17" s="2" t="s">
        <v>28</v>
      </c>
    </row>
    <row r="18" customFormat="false" ht="15" hidden="false" customHeight="false" outlineLevel="0" collapsed="false">
      <c r="A18" s="5" t="s">
        <v>29</v>
      </c>
      <c r="B18" s="6" t="n">
        <f aca="false">運用費_AWS_月別!G27</f>
        <v>805000</v>
      </c>
      <c r="C18" s="6" t="n">
        <f aca="false">運用費_AWS_月別!S27</f>
        <v>805000</v>
      </c>
      <c r="D18" s="6" t="n">
        <f aca="false">運用費_GCP_月別!G26</f>
        <v>805000</v>
      </c>
      <c r="E18" s="6" t="n">
        <f aca="false">運用費_GCP_月別!S26</f>
        <v>805000</v>
      </c>
      <c r="F18" s="2"/>
    </row>
    <row r="19" customFormat="false" ht="15" hidden="false" customHeight="false" outlineLevel="0" collapsed="false">
      <c r="A19" s="12" t="s">
        <v>30</v>
      </c>
      <c r="B19" s="6" t="n">
        <f aca="false">運用費_AWS_月別!G28</f>
        <v>879348.013</v>
      </c>
      <c r="C19" s="6" t="n">
        <f aca="false">運用費_AWS_月別!S28</f>
        <v>1049636.776</v>
      </c>
      <c r="D19" s="6" t="n">
        <f aca="false">運用費_GCP_月別!G27</f>
        <v>871862.08</v>
      </c>
      <c r="E19" s="6" t="n">
        <f aca="false">運用費_GCP_月別!S27</f>
        <v>1039125.52</v>
      </c>
      <c r="F19" s="2"/>
    </row>
    <row r="21" customFormat="false" ht="15" hidden="false" customHeight="false" outlineLevel="0" collapsed="false">
      <c r="A21" s="12" t="s">
        <v>31</v>
      </c>
    </row>
    <row r="22" customFormat="false" ht="15" hidden="false" customHeight="false" outlineLevel="0" collapsed="false">
      <c r="A22" s="2" t="s">
        <v>32</v>
      </c>
    </row>
    <row r="23" customFormat="false" ht="15" hidden="false" customHeight="false" outlineLevel="0" collapsed="false">
      <c r="A23" s="2" t="s">
        <v>33</v>
      </c>
    </row>
    <row r="24" customFormat="false" ht="15" hidden="false" customHeight="false" outlineLevel="0" collapsed="false">
      <c r="A24" s="2" t="s">
        <v>34</v>
      </c>
    </row>
    <row r="25" customFormat="false" ht="15" hidden="false" customHeight="false" outlineLevel="0" collapsed="false">
      <c r="A25" s="2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6"/>
    <col collapsed="false" customWidth="true" hidden="false" outlineLevel="0" max="4" min="4" style="0" width="72"/>
  </cols>
  <sheetData>
    <row r="1" customFormat="false" ht="19.4" hidden="false" customHeight="false" outlineLevel="0" collapsed="false">
      <c r="A1" s="13" t="s">
        <v>36</v>
      </c>
    </row>
    <row r="2" customFormat="false" ht="15" hidden="false" customHeight="false" outlineLevel="0" collapsed="false">
      <c r="A2" s="2" t="s">
        <v>37</v>
      </c>
    </row>
    <row r="4" customFormat="false" ht="15" hidden="false" customHeight="false" outlineLevel="0" collapsed="false">
      <c r="A4" s="3" t="s">
        <v>38</v>
      </c>
      <c r="B4" s="3" t="s">
        <v>39</v>
      </c>
      <c r="C4" s="3" t="s">
        <v>40</v>
      </c>
      <c r="D4" s="3" t="s">
        <v>6</v>
      </c>
    </row>
    <row r="5" customFormat="false" ht="15" hidden="false" customHeight="false" outlineLevel="0" collapsed="false">
      <c r="A5" s="5" t="s">
        <v>41</v>
      </c>
      <c r="B5" s="14" t="n">
        <v>150</v>
      </c>
      <c r="C5" s="5" t="s">
        <v>42</v>
      </c>
      <c r="D5" s="2" t="s">
        <v>43</v>
      </c>
    </row>
    <row r="6" customFormat="false" ht="15" hidden="false" customHeight="false" outlineLevel="0" collapsed="false">
      <c r="A6" s="15" t="s">
        <v>44</v>
      </c>
      <c r="B6" s="14" t="n">
        <v>730</v>
      </c>
      <c r="C6" s="5" t="s">
        <v>45</v>
      </c>
      <c r="D6" s="7" t="s">
        <v>46</v>
      </c>
    </row>
    <row r="7" customFormat="false" ht="15" hidden="false" customHeight="false" outlineLevel="0" collapsed="false">
      <c r="A7" s="5" t="s">
        <v>47</v>
      </c>
      <c r="B7" s="14" t="n">
        <v>5</v>
      </c>
      <c r="C7" s="5" t="s">
        <v>48</v>
      </c>
      <c r="D7" s="2" t="s">
        <v>49</v>
      </c>
    </row>
    <row r="8" customFormat="false" ht="15" hidden="false" customHeight="false" outlineLevel="0" collapsed="false">
      <c r="A8" s="5" t="s">
        <v>50</v>
      </c>
      <c r="B8" s="14" t="n">
        <v>13</v>
      </c>
      <c r="C8" s="5" t="s">
        <v>51</v>
      </c>
      <c r="D8" s="2" t="s">
        <v>52</v>
      </c>
    </row>
    <row r="9" customFormat="false" ht="15" hidden="false" customHeight="false" outlineLevel="0" collapsed="false">
      <c r="A9" s="5" t="s">
        <v>53</v>
      </c>
      <c r="B9" s="16" t="n">
        <v>0.4</v>
      </c>
      <c r="C9" s="5" t="s">
        <v>54</v>
      </c>
      <c r="D9" s="2" t="s">
        <v>55</v>
      </c>
    </row>
    <row r="10" customFormat="false" ht="15" hidden="false" customHeight="false" outlineLevel="0" collapsed="false">
      <c r="A10" s="5" t="s">
        <v>56</v>
      </c>
      <c r="B10" s="14" t="n">
        <v>0.7</v>
      </c>
      <c r="C10" s="5" t="s">
        <v>57</v>
      </c>
      <c r="D10" s="2" t="s">
        <v>58</v>
      </c>
    </row>
    <row r="11" customFormat="false" ht="15" hidden="false" customHeight="false" outlineLevel="0" collapsed="false">
      <c r="A11" s="5" t="s">
        <v>59</v>
      </c>
      <c r="B11" s="17" t="n">
        <v>1150000</v>
      </c>
      <c r="C11" s="5" t="s">
        <v>60</v>
      </c>
      <c r="D11" s="7" t="s">
        <v>61</v>
      </c>
    </row>
    <row r="13" customFormat="false" ht="15" hidden="false" customHeight="false" outlineLevel="0" collapsed="false">
      <c r="A13" s="10" t="s">
        <v>62</v>
      </c>
    </row>
    <row r="14" customFormat="false" ht="15" hidden="false" customHeight="false" outlineLevel="0" collapsed="false">
      <c r="A14" s="3" t="s">
        <v>63</v>
      </c>
      <c r="B14" s="3" t="s">
        <v>64</v>
      </c>
      <c r="C14" s="3" t="s">
        <v>65</v>
      </c>
      <c r="D14" s="3" t="s">
        <v>6</v>
      </c>
    </row>
    <row r="15" customFormat="false" ht="15" hidden="false" customHeight="false" outlineLevel="0" collapsed="false">
      <c r="A15" s="15" t="s">
        <v>66</v>
      </c>
      <c r="B15" s="17" t="n">
        <v>1500000</v>
      </c>
      <c r="C15" s="14" t="n">
        <v>0.5</v>
      </c>
      <c r="D15" s="2" t="s">
        <v>67</v>
      </c>
    </row>
    <row r="16" customFormat="false" ht="15" hidden="false" customHeight="false" outlineLevel="0" collapsed="false">
      <c r="A16" s="5" t="s">
        <v>68</v>
      </c>
      <c r="B16" s="17" t="n">
        <v>1400000</v>
      </c>
      <c r="C16" s="14" t="n">
        <v>1</v>
      </c>
      <c r="D16" s="2" t="s">
        <v>67</v>
      </c>
    </row>
    <row r="17" customFormat="false" ht="15" hidden="false" customHeight="false" outlineLevel="0" collapsed="false">
      <c r="A17" s="5" t="s">
        <v>69</v>
      </c>
      <c r="B17" s="17" t="n">
        <v>1100000</v>
      </c>
      <c r="C17" s="14" t="n">
        <v>2</v>
      </c>
      <c r="D17" s="2" t="s">
        <v>67</v>
      </c>
    </row>
    <row r="18" customFormat="false" ht="15" hidden="false" customHeight="false" outlineLevel="0" collapsed="false">
      <c r="A18" s="5" t="s">
        <v>70</v>
      </c>
      <c r="B18" s="17" t="n">
        <v>1000000</v>
      </c>
      <c r="C18" s="14" t="n">
        <v>1</v>
      </c>
      <c r="D18" s="2" t="s">
        <v>67</v>
      </c>
    </row>
    <row r="19" customFormat="false" ht="15" hidden="false" customHeight="false" outlineLevel="0" collapsed="false">
      <c r="A19" s="5" t="s">
        <v>71</v>
      </c>
      <c r="B19" s="17" t="n">
        <v>1200000</v>
      </c>
      <c r="C19" s="14" t="n">
        <v>0.5</v>
      </c>
      <c r="D19" s="2" t="s">
        <v>67</v>
      </c>
    </row>
    <row r="20" customFormat="false" ht="15" hidden="false" customHeight="false" outlineLevel="0" collapsed="false">
      <c r="A20" s="15" t="s">
        <v>72</v>
      </c>
      <c r="B20" s="17" t="n">
        <v>900000</v>
      </c>
      <c r="C20" s="14" t="n">
        <v>0.5</v>
      </c>
      <c r="D20" s="2" t="s">
        <v>67</v>
      </c>
    </row>
    <row r="21" customFormat="false" ht="15" hidden="false" customHeight="false" outlineLevel="0" collapsed="false">
      <c r="A21" s="12" t="s">
        <v>73</v>
      </c>
      <c r="B21" s="18" t="n">
        <f aca="false">SUMPRODUCT(B15:B20,C15:C20)</f>
        <v>6400000</v>
      </c>
      <c r="C21" s="12" t="n">
        <f aca="false">SUM(C15:C20)</f>
        <v>5.5</v>
      </c>
      <c r="D21" s="7" t="s">
        <v>74</v>
      </c>
    </row>
    <row r="23" customFormat="false" ht="15" hidden="false" customHeight="false" outlineLevel="0" collapsed="false">
      <c r="A23" s="10" t="s">
        <v>75</v>
      </c>
    </row>
    <row r="24" customFormat="false" ht="15" hidden="false" customHeight="false" outlineLevel="0" collapsed="false">
      <c r="A24" s="3" t="s">
        <v>76</v>
      </c>
      <c r="B24" s="3" t="s">
        <v>77</v>
      </c>
      <c r="C24" s="3" t="s">
        <v>78</v>
      </c>
      <c r="D24" s="3" t="s">
        <v>6</v>
      </c>
    </row>
    <row r="25" customFormat="false" ht="15" hidden="false" customHeight="false" outlineLevel="0" collapsed="false">
      <c r="A25" s="15" t="s">
        <v>79</v>
      </c>
      <c r="B25" s="14" t="n">
        <v>0.5</v>
      </c>
      <c r="C25" s="14" t="n">
        <v>3</v>
      </c>
      <c r="D25" s="2" t="s">
        <v>80</v>
      </c>
    </row>
    <row r="26" customFormat="false" ht="15" hidden="false" customHeight="false" outlineLevel="0" collapsed="false">
      <c r="A26" s="15" t="s">
        <v>81</v>
      </c>
      <c r="B26" s="14" t="n">
        <v>-0.3</v>
      </c>
      <c r="C26" s="14" t="n">
        <v>2</v>
      </c>
      <c r="D26" s="7" t="s">
        <v>82</v>
      </c>
    </row>
    <row r="27" customFormat="false" ht="15" hidden="false" customHeight="false" outlineLevel="0" collapsed="false">
      <c r="A27" s="15" t="s">
        <v>83</v>
      </c>
      <c r="B27" s="14" t="n">
        <v>0.75</v>
      </c>
      <c r="C27" s="14" t="n">
        <v>2</v>
      </c>
      <c r="D27" s="2" t="s">
        <v>84</v>
      </c>
    </row>
    <row r="28" customFormat="false" ht="15" hidden="false" customHeight="false" outlineLevel="0" collapsed="false">
      <c r="A28" s="15" t="s">
        <v>85</v>
      </c>
      <c r="B28" s="14" t="n">
        <v>1</v>
      </c>
      <c r="C28" s="14" t="n">
        <v>3</v>
      </c>
      <c r="D28" s="7" t="s">
        <v>86</v>
      </c>
    </row>
    <row r="29" customFormat="false" ht="15" hidden="false" customHeight="false" outlineLevel="0" collapsed="false">
      <c r="A29" s="5" t="s">
        <v>87</v>
      </c>
      <c r="B29" s="17" t="n">
        <v>1100000</v>
      </c>
      <c r="D29" s="2" t="s">
        <v>88</v>
      </c>
    </row>
    <row r="31" customFormat="false" ht="17.15" hidden="false" customHeight="false" outlineLevel="0" collapsed="false">
      <c r="A31" s="10" t="s">
        <v>89</v>
      </c>
    </row>
    <row r="32" customFormat="false" ht="15" hidden="false" customHeight="false" outlineLevel="0" collapsed="false">
      <c r="A32" s="3" t="s">
        <v>38</v>
      </c>
      <c r="B32" s="4" t="s">
        <v>90</v>
      </c>
      <c r="C32" s="4" t="s">
        <v>91</v>
      </c>
      <c r="D32" s="3" t="s">
        <v>6</v>
      </c>
    </row>
    <row r="33" customFormat="false" ht="15" hidden="false" customHeight="false" outlineLevel="0" collapsed="false">
      <c r="A33" s="5" t="s">
        <v>92</v>
      </c>
      <c r="B33" s="19" t="n">
        <v>400</v>
      </c>
      <c r="C33" s="19" t="n">
        <v>270</v>
      </c>
      <c r="D33" s="7" t="s">
        <v>93</v>
      </c>
    </row>
    <row r="34" customFormat="false" ht="15" hidden="false" customHeight="false" outlineLevel="0" collapsed="false">
      <c r="A34" s="15" t="s">
        <v>94</v>
      </c>
      <c r="B34" s="19" t="n">
        <v>65.7</v>
      </c>
      <c r="C34" s="19" t="n">
        <v>65.7</v>
      </c>
      <c r="D34" s="7" t="s">
        <v>95</v>
      </c>
    </row>
    <row r="35" customFormat="false" ht="15" hidden="false" customHeight="false" outlineLevel="0" collapsed="false">
      <c r="A35" s="15" t="s">
        <v>96</v>
      </c>
      <c r="B35" s="19" t="n">
        <v>130</v>
      </c>
      <c r="C35" s="19" t="n">
        <v>130</v>
      </c>
      <c r="D35" s="7" t="s">
        <v>97</v>
      </c>
    </row>
    <row r="36" customFormat="false" ht="15" hidden="false" customHeight="false" outlineLevel="0" collapsed="false">
      <c r="A36" s="15" t="s">
        <v>98</v>
      </c>
      <c r="B36" s="19" t="n">
        <v>130</v>
      </c>
      <c r="C36" s="19" t="n">
        <v>130</v>
      </c>
      <c r="D36" s="7" t="s">
        <v>99</v>
      </c>
    </row>
    <row r="38" customFormat="false" ht="17.15" hidden="false" customHeight="false" outlineLevel="0" collapsed="false">
      <c r="A38" s="10" t="s">
        <v>100</v>
      </c>
    </row>
    <row r="39" customFormat="false" ht="15" hidden="false" customHeight="false" outlineLevel="0" collapsed="false">
      <c r="A39" s="3" t="s">
        <v>38</v>
      </c>
      <c r="B39" s="3" t="s">
        <v>101</v>
      </c>
      <c r="C39" s="3" t="s">
        <v>40</v>
      </c>
      <c r="D39" s="3" t="s">
        <v>102</v>
      </c>
    </row>
    <row r="40" customFormat="false" ht="15" hidden="false" customHeight="false" outlineLevel="0" collapsed="false">
      <c r="A40" s="15" t="s">
        <v>103</v>
      </c>
      <c r="B40" s="19" t="n">
        <v>0.04048</v>
      </c>
      <c r="C40" s="15" t="s">
        <v>104</v>
      </c>
      <c r="D40" s="7" t="s">
        <v>105</v>
      </c>
    </row>
    <row r="41" customFormat="false" ht="15" hidden="false" customHeight="false" outlineLevel="0" collapsed="false">
      <c r="A41" s="15" t="s">
        <v>106</v>
      </c>
      <c r="B41" s="20" t="n">
        <v>0.004445</v>
      </c>
      <c r="C41" s="15" t="s">
        <v>107</v>
      </c>
      <c r="D41" s="2" t="s">
        <v>108</v>
      </c>
    </row>
    <row r="42" customFormat="false" ht="15" hidden="false" customHeight="false" outlineLevel="0" collapsed="false">
      <c r="A42" s="15" t="s">
        <v>109</v>
      </c>
      <c r="B42" s="19" t="n">
        <v>0.0225</v>
      </c>
      <c r="C42" s="15" t="s">
        <v>110</v>
      </c>
      <c r="D42" s="7" t="s">
        <v>111</v>
      </c>
    </row>
    <row r="43" customFormat="false" ht="15" hidden="false" customHeight="false" outlineLevel="0" collapsed="false">
      <c r="A43" s="15" t="s">
        <v>112</v>
      </c>
      <c r="B43" s="19" t="n">
        <v>0.045</v>
      </c>
      <c r="C43" s="15" t="s">
        <v>110</v>
      </c>
      <c r="D43" s="2" t="s">
        <v>113</v>
      </c>
    </row>
    <row r="44" customFormat="false" ht="15" hidden="false" customHeight="false" outlineLevel="0" collapsed="false">
      <c r="A44" s="15" t="s">
        <v>114</v>
      </c>
      <c r="B44" s="20" t="n">
        <v>1.8E-005</v>
      </c>
      <c r="C44" s="15" t="s">
        <v>115</v>
      </c>
      <c r="D44" s="7" t="s">
        <v>116</v>
      </c>
    </row>
    <row r="45" customFormat="false" ht="15" hidden="false" customHeight="false" outlineLevel="0" collapsed="false">
      <c r="A45" s="15" t="s">
        <v>117</v>
      </c>
      <c r="B45" s="20" t="n">
        <v>2E-006</v>
      </c>
      <c r="C45" s="15" t="s">
        <v>118</v>
      </c>
      <c r="D45" s="2" t="s">
        <v>108</v>
      </c>
    </row>
    <row r="46" customFormat="false" ht="15" hidden="false" customHeight="false" outlineLevel="0" collapsed="false">
      <c r="A46" s="15" t="s">
        <v>119</v>
      </c>
      <c r="B46" s="19" t="n">
        <v>65.7</v>
      </c>
      <c r="C46" s="15" t="s">
        <v>120</v>
      </c>
      <c r="D46" s="7" t="s">
        <v>121</v>
      </c>
    </row>
    <row r="47" customFormat="false" ht="15" hidden="false" customHeight="false" outlineLevel="0" collapsed="false">
      <c r="A47" s="15" t="s">
        <v>122</v>
      </c>
      <c r="B47" s="19" t="n">
        <v>0.1098</v>
      </c>
      <c r="C47" s="15" t="s">
        <v>123</v>
      </c>
      <c r="D47" s="7" t="s">
        <v>124</v>
      </c>
    </row>
    <row r="48" customFormat="false" ht="15" hidden="false" customHeight="false" outlineLevel="0" collapsed="false">
      <c r="A48" s="15" t="s">
        <v>125</v>
      </c>
      <c r="B48" s="19" t="n">
        <v>0.041</v>
      </c>
      <c r="C48" s="15" t="s">
        <v>126</v>
      </c>
      <c r="D48" s="7" t="s">
        <v>127</v>
      </c>
    </row>
    <row r="49" customFormat="false" ht="15" hidden="false" customHeight="false" outlineLevel="0" collapsed="false">
      <c r="A49" s="15" t="s">
        <v>128</v>
      </c>
      <c r="B49" s="21" t="s">
        <v>129</v>
      </c>
      <c r="C49" s="15" t="s">
        <v>130</v>
      </c>
      <c r="D49" s="7" t="s">
        <v>131</v>
      </c>
    </row>
    <row r="50" customFormat="false" ht="15" hidden="false" customHeight="false" outlineLevel="0" collapsed="false">
      <c r="A50" s="15" t="s">
        <v>132</v>
      </c>
      <c r="B50" s="21" t="s">
        <v>133</v>
      </c>
      <c r="C50" s="15" t="s">
        <v>130</v>
      </c>
      <c r="D50" s="2" t="s">
        <v>108</v>
      </c>
    </row>
    <row r="52" customFormat="false" ht="15" hidden="false" customHeight="false" outlineLevel="0" collapsed="false">
      <c r="A52" s="2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171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7" min="3" style="0" width="15"/>
    <col collapsed="false" customWidth="true" hidden="false" outlineLevel="0" max="8" min="8" style="0" width="16"/>
    <col collapsed="false" customWidth="true" hidden="false" outlineLevel="0" max="9" min="9" style="0" width="48"/>
  </cols>
  <sheetData>
    <row r="1" customFormat="false" ht="15" hidden="false" customHeight="false" outlineLevel="0" collapsed="false">
      <c r="A1" s="22" t="s">
        <v>135</v>
      </c>
    </row>
    <row r="2" customFormat="false" ht="15" hidden="false" customHeight="false" outlineLevel="0" collapsed="false">
      <c r="A2" s="2" t="s">
        <v>136</v>
      </c>
    </row>
    <row r="4" customFormat="false" ht="15" hidden="false" customHeight="false" outlineLevel="0" collapsed="false">
      <c r="A4" s="3" t="s">
        <v>137</v>
      </c>
      <c r="B4" s="3" t="s">
        <v>38</v>
      </c>
      <c r="C4" s="4" t="s">
        <v>138</v>
      </c>
      <c r="D4" s="4" t="s">
        <v>139</v>
      </c>
      <c r="E4" s="4" t="s">
        <v>140</v>
      </c>
      <c r="F4" s="4" t="s">
        <v>141</v>
      </c>
      <c r="G4" s="4" t="s">
        <v>142</v>
      </c>
      <c r="H4" s="3" t="s">
        <v>143</v>
      </c>
      <c r="I4" s="3" t="s">
        <v>6</v>
      </c>
    </row>
    <row r="5" customFormat="false" ht="15" hidden="false" customHeight="false" outlineLevel="0" collapsed="false">
      <c r="A5" s="23" t="s">
        <v>144</v>
      </c>
      <c r="B5" s="24"/>
      <c r="C5" s="24"/>
      <c r="D5" s="24"/>
      <c r="E5" s="24"/>
      <c r="F5" s="24"/>
      <c r="G5" s="24"/>
      <c r="H5" s="24"/>
      <c r="I5" s="24"/>
    </row>
    <row r="6" customFormat="false" ht="15" hidden="false" customHeight="false" outlineLevel="0" collapsed="false">
      <c r="A6" s="5" t="s">
        <v>145</v>
      </c>
      <c r="B6" s="15" t="s">
        <v>66</v>
      </c>
      <c r="C6" s="6" t="n">
        <f aca="false">前提!$B$15*前提!$C$15</f>
        <v>750000</v>
      </c>
      <c r="D6" s="6" t="n">
        <f aca="false">前提!$B$15*前提!$C$15</f>
        <v>750000</v>
      </c>
      <c r="E6" s="6" t="n">
        <f aca="false">前提!$B$15*前提!$C$15</f>
        <v>750000</v>
      </c>
      <c r="F6" s="6" t="n">
        <f aca="false">前提!$B$15*前提!$C$15</f>
        <v>750000</v>
      </c>
      <c r="G6" s="6" t="n">
        <f aca="false">前提!$B$15*前提!$C$15</f>
        <v>750000</v>
      </c>
      <c r="H6" s="18" t="n">
        <f aca="false">SUM(C6:G6)</f>
        <v>3750000</v>
      </c>
      <c r="I6" s="2" t="s">
        <v>146</v>
      </c>
    </row>
    <row r="7" customFormat="false" ht="15" hidden="false" customHeight="false" outlineLevel="0" collapsed="false">
      <c r="A7" s="5" t="s">
        <v>145</v>
      </c>
      <c r="B7" s="5" t="s">
        <v>68</v>
      </c>
      <c r="C7" s="6" t="n">
        <f aca="false">前提!$B$16*前提!$C$16</f>
        <v>1400000</v>
      </c>
      <c r="D7" s="6" t="n">
        <f aca="false">前提!$B$16*前提!$C$16</f>
        <v>1400000</v>
      </c>
      <c r="E7" s="6" t="n">
        <f aca="false">前提!$B$16*前提!$C$16</f>
        <v>1400000</v>
      </c>
      <c r="F7" s="6" t="n">
        <f aca="false">前提!$B$16*前提!$C$16</f>
        <v>1400000</v>
      </c>
      <c r="G7" s="6" t="n">
        <f aca="false">前提!$B$16*前提!$C$16</f>
        <v>1400000</v>
      </c>
      <c r="H7" s="18" t="n">
        <f aca="false">SUM(C7:G7)</f>
        <v>7000000</v>
      </c>
      <c r="I7" s="2" t="s">
        <v>146</v>
      </c>
    </row>
    <row r="8" customFormat="false" ht="15" hidden="false" customHeight="false" outlineLevel="0" collapsed="false">
      <c r="A8" s="5" t="s">
        <v>145</v>
      </c>
      <c r="B8" s="5" t="s">
        <v>69</v>
      </c>
      <c r="C8" s="6" t="n">
        <f aca="false">前提!$B$17*前提!$C$17</f>
        <v>2200000</v>
      </c>
      <c r="D8" s="6" t="n">
        <f aca="false">前提!$B$17*前提!$C$17</f>
        <v>2200000</v>
      </c>
      <c r="E8" s="6" t="n">
        <f aca="false">前提!$B$17*前提!$C$17</f>
        <v>2200000</v>
      </c>
      <c r="F8" s="6" t="n">
        <f aca="false">前提!$B$17*前提!$C$17</f>
        <v>2200000</v>
      </c>
      <c r="G8" s="6" t="n">
        <f aca="false">前提!$B$17*前提!$C$17</f>
        <v>2200000</v>
      </c>
      <c r="H8" s="18" t="n">
        <f aca="false">SUM(C8:G8)</f>
        <v>11000000</v>
      </c>
      <c r="I8" s="2" t="s">
        <v>146</v>
      </c>
    </row>
    <row r="9" customFormat="false" ht="15" hidden="false" customHeight="false" outlineLevel="0" collapsed="false">
      <c r="A9" s="5" t="s">
        <v>145</v>
      </c>
      <c r="B9" s="5" t="s">
        <v>70</v>
      </c>
      <c r="C9" s="6" t="n">
        <f aca="false">前提!$B$18*前提!$C$18</f>
        <v>1000000</v>
      </c>
      <c r="D9" s="6" t="n">
        <f aca="false">前提!$B$18*前提!$C$18</f>
        <v>1000000</v>
      </c>
      <c r="E9" s="6" t="n">
        <f aca="false">前提!$B$18*前提!$C$18</f>
        <v>1000000</v>
      </c>
      <c r="F9" s="6" t="n">
        <f aca="false">前提!$B$18*前提!$C$18</f>
        <v>1000000</v>
      </c>
      <c r="G9" s="6" t="n">
        <f aca="false">前提!$B$18*前提!$C$18</f>
        <v>1000000</v>
      </c>
      <c r="H9" s="18" t="n">
        <f aca="false">SUM(C9:G9)</f>
        <v>5000000</v>
      </c>
      <c r="I9" s="2" t="s">
        <v>146</v>
      </c>
    </row>
    <row r="10" customFormat="false" ht="15" hidden="false" customHeight="false" outlineLevel="0" collapsed="false">
      <c r="A10" s="5" t="s">
        <v>145</v>
      </c>
      <c r="B10" s="5" t="s">
        <v>71</v>
      </c>
      <c r="C10" s="6" t="n">
        <f aca="false">前提!$B$19*前提!$C$19</f>
        <v>600000</v>
      </c>
      <c r="D10" s="6" t="n">
        <f aca="false">前提!$B$19*前提!$C$19</f>
        <v>600000</v>
      </c>
      <c r="E10" s="6" t="n">
        <f aca="false">前提!$B$19*前提!$C$19</f>
        <v>600000</v>
      </c>
      <c r="F10" s="6" t="n">
        <f aca="false">前提!$B$19*前提!$C$19</f>
        <v>600000</v>
      </c>
      <c r="G10" s="6" t="n">
        <f aca="false">前提!$B$19*前提!$C$19</f>
        <v>600000</v>
      </c>
      <c r="H10" s="18" t="n">
        <f aca="false">SUM(C10:G10)</f>
        <v>3000000</v>
      </c>
      <c r="I10" s="2" t="s">
        <v>146</v>
      </c>
    </row>
    <row r="11" customFormat="false" ht="15" hidden="false" customHeight="false" outlineLevel="0" collapsed="false">
      <c r="A11" s="5" t="s">
        <v>145</v>
      </c>
      <c r="B11" s="15" t="s">
        <v>72</v>
      </c>
      <c r="C11" s="6" t="n">
        <f aca="false">前提!$B$20*前提!$C$20</f>
        <v>450000</v>
      </c>
      <c r="D11" s="6" t="n">
        <f aca="false">前提!$B$20*前提!$C$20</f>
        <v>450000</v>
      </c>
      <c r="E11" s="6" t="n">
        <f aca="false">前提!$B$20*前提!$C$20</f>
        <v>450000</v>
      </c>
      <c r="F11" s="6" t="n">
        <f aca="false">前提!$B$20*前提!$C$20</f>
        <v>450000</v>
      </c>
      <c r="G11" s="6" t="n">
        <f aca="false">前提!$B$20*前提!$C$20</f>
        <v>450000</v>
      </c>
      <c r="H11" s="18" t="n">
        <f aca="false">SUM(C11:G11)</f>
        <v>2250000</v>
      </c>
      <c r="I11" s="2" t="s">
        <v>146</v>
      </c>
    </row>
    <row r="12" customFormat="false" ht="15" hidden="false" customHeight="false" outlineLevel="0" collapsed="false">
      <c r="B12" s="12" t="s">
        <v>147</v>
      </c>
      <c r="C12" s="18" t="n">
        <f aca="false">SUM(C6:C11)</f>
        <v>6400000</v>
      </c>
      <c r="D12" s="18" t="n">
        <f aca="false">SUM(D6:D11)</f>
        <v>6400000</v>
      </c>
      <c r="E12" s="18" t="n">
        <f aca="false">SUM(E6:E11)</f>
        <v>6400000</v>
      </c>
      <c r="F12" s="18" t="n">
        <f aca="false">SUM(F6:F11)</f>
        <v>6400000</v>
      </c>
      <c r="G12" s="18" t="n">
        <f aca="false">SUM(G6:G11)</f>
        <v>6400000</v>
      </c>
      <c r="H12" s="18" t="n">
        <f aca="false">SUM(H6:H11)</f>
        <v>32000000</v>
      </c>
    </row>
    <row r="14" customFormat="false" ht="15" hidden="false" customHeight="false" outlineLevel="0" collapsed="false">
      <c r="A14" s="23" t="s">
        <v>148</v>
      </c>
      <c r="B14" s="24"/>
      <c r="C14" s="24"/>
      <c r="D14" s="24"/>
      <c r="E14" s="24"/>
      <c r="F14" s="24"/>
      <c r="G14" s="24"/>
      <c r="H14" s="24"/>
      <c r="I14" s="24"/>
    </row>
    <row r="15" customFormat="false" ht="15" hidden="false" customHeight="false" outlineLevel="0" collapsed="false">
      <c r="A15" s="5" t="s">
        <v>149</v>
      </c>
      <c r="B15" s="5" t="s">
        <v>92</v>
      </c>
      <c r="C15" s="6" t="n">
        <f aca="false">前提!$B$33*前提!$B$5</f>
        <v>60000</v>
      </c>
      <c r="D15" s="6" t="n">
        <f aca="false">前提!$B$33*前提!$B$5</f>
        <v>60000</v>
      </c>
      <c r="E15" s="6" t="n">
        <f aca="false">前提!$B$33*前提!$B$5</f>
        <v>60000</v>
      </c>
      <c r="F15" s="6" t="n">
        <f aca="false">前提!$B$33*前提!$B$5</f>
        <v>60000</v>
      </c>
      <c r="G15" s="6" t="n">
        <f aca="false">前提!$B$33*前提!$B$5</f>
        <v>60000</v>
      </c>
      <c r="H15" s="18" t="n">
        <f aca="false">SUM(C15:G15)</f>
        <v>300000</v>
      </c>
      <c r="I15" s="7" t="s">
        <v>93</v>
      </c>
    </row>
    <row r="16" customFormat="false" ht="15" hidden="false" customHeight="false" outlineLevel="0" collapsed="false">
      <c r="A16" s="5" t="s">
        <v>149</v>
      </c>
      <c r="B16" s="15" t="s">
        <v>94</v>
      </c>
      <c r="C16" s="6" t="n">
        <f aca="false">前提!$B$34*前提!$B$5</f>
        <v>9855</v>
      </c>
      <c r="D16" s="6" t="n">
        <f aca="false">前提!$B$34*前提!$B$5</f>
        <v>9855</v>
      </c>
      <c r="E16" s="6" t="n">
        <f aca="false">前提!$B$34*前提!$B$5</f>
        <v>9855</v>
      </c>
      <c r="F16" s="6" t="n">
        <f aca="false">前提!$B$34*前提!$B$5</f>
        <v>9855</v>
      </c>
      <c r="G16" s="6" t="n">
        <f aca="false">前提!$B$34*前提!$B$5</f>
        <v>9855</v>
      </c>
      <c r="H16" s="18" t="n">
        <f aca="false">SUM(C16:G16)</f>
        <v>49275</v>
      </c>
      <c r="I16" s="7" t="s">
        <v>95</v>
      </c>
    </row>
    <row r="17" customFormat="false" ht="15" hidden="false" customHeight="false" outlineLevel="0" collapsed="false">
      <c r="A17" s="5" t="s">
        <v>149</v>
      </c>
      <c r="B17" s="15" t="s">
        <v>96</v>
      </c>
      <c r="C17" s="6" t="n">
        <f aca="false">前提!$B$35*前提!$B$5</f>
        <v>19500</v>
      </c>
      <c r="D17" s="6" t="n">
        <f aca="false">前提!$B$35*前提!$B$5</f>
        <v>19500</v>
      </c>
      <c r="E17" s="6" t="n">
        <f aca="false">前提!$B$35*前提!$B$5</f>
        <v>19500</v>
      </c>
      <c r="F17" s="6" t="n">
        <f aca="false">前提!$B$35*前提!$B$5</f>
        <v>19500</v>
      </c>
      <c r="G17" s="6" t="n">
        <f aca="false">前提!$B$35*前提!$B$5</f>
        <v>19500</v>
      </c>
      <c r="H17" s="18" t="n">
        <f aca="false">SUM(C17:G17)</f>
        <v>97500</v>
      </c>
      <c r="I17" s="7" t="s">
        <v>97</v>
      </c>
    </row>
    <row r="18" customFormat="false" ht="15" hidden="false" customHeight="false" outlineLevel="0" collapsed="false">
      <c r="A18" s="5" t="s">
        <v>149</v>
      </c>
      <c r="B18" s="15" t="s">
        <v>98</v>
      </c>
      <c r="C18" s="6" t="n">
        <f aca="false">前提!$B$36*前提!$B$5</f>
        <v>19500</v>
      </c>
      <c r="D18" s="6" t="n">
        <f aca="false">前提!$B$36*前提!$B$5</f>
        <v>19500</v>
      </c>
      <c r="E18" s="6" t="n">
        <f aca="false">前提!$B$36*前提!$B$5</f>
        <v>19500</v>
      </c>
      <c r="F18" s="6" t="n">
        <f aca="false">前提!$B$36*前提!$B$5</f>
        <v>19500</v>
      </c>
      <c r="G18" s="6" t="n">
        <f aca="false">前提!$B$36*前提!$B$5</f>
        <v>19500</v>
      </c>
      <c r="H18" s="18" t="n">
        <f aca="false">SUM(C18:G18)</f>
        <v>97500</v>
      </c>
      <c r="I18" s="7" t="s">
        <v>99</v>
      </c>
    </row>
    <row r="19" customFormat="false" ht="15" hidden="false" customHeight="false" outlineLevel="0" collapsed="false">
      <c r="B19" s="12" t="s">
        <v>150</v>
      </c>
      <c r="C19" s="18" t="n">
        <f aca="false">SUM(C15:C18)</f>
        <v>108855</v>
      </c>
      <c r="D19" s="18" t="n">
        <f aca="false">SUM(D15:D18)</f>
        <v>108855</v>
      </c>
      <c r="E19" s="18" t="n">
        <f aca="false">SUM(E15:E18)</f>
        <v>108855</v>
      </c>
      <c r="F19" s="18" t="n">
        <f aca="false">SUM(F15:F18)</f>
        <v>108855</v>
      </c>
      <c r="G19" s="18" t="n">
        <f aca="false">SUM(G15:G18)</f>
        <v>108855</v>
      </c>
      <c r="H19" s="18" t="n">
        <f aca="false">SUM(H15:H18)</f>
        <v>544275</v>
      </c>
    </row>
    <row r="21" customFormat="false" ht="15" hidden="false" customHeight="false" outlineLevel="0" collapsed="false">
      <c r="A21" s="23" t="s">
        <v>151</v>
      </c>
      <c r="B21" s="24"/>
      <c r="C21" s="24"/>
      <c r="D21" s="24"/>
      <c r="E21" s="24"/>
      <c r="F21" s="24"/>
      <c r="G21" s="24"/>
      <c r="H21" s="24"/>
      <c r="I21" s="24"/>
    </row>
    <row r="22" customFormat="false" ht="15" hidden="false" customHeight="false" outlineLevel="0" collapsed="false">
      <c r="A22" s="5" t="s">
        <v>149</v>
      </c>
      <c r="B22" s="5" t="s">
        <v>92</v>
      </c>
      <c r="C22" s="6" t="n">
        <f aca="false">前提!$C$33*前提!$B$5</f>
        <v>40500</v>
      </c>
      <c r="D22" s="6" t="n">
        <f aca="false">前提!$C$33*前提!$B$5</f>
        <v>40500</v>
      </c>
      <c r="E22" s="6" t="n">
        <f aca="false">前提!$C$33*前提!$B$5</f>
        <v>40500</v>
      </c>
      <c r="F22" s="6" t="n">
        <f aca="false">前提!$C$33*前提!$B$5</f>
        <v>40500</v>
      </c>
      <c r="G22" s="6" t="n">
        <f aca="false">前提!$C$33*前提!$B$5</f>
        <v>40500</v>
      </c>
      <c r="H22" s="18" t="n">
        <f aca="false">SUM(C22:G22)</f>
        <v>202500</v>
      </c>
      <c r="I22" s="7" t="s">
        <v>93</v>
      </c>
    </row>
    <row r="23" customFormat="false" ht="15" hidden="false" customHeight="false" outlineLevel="0" collapsed="false">
      <c r="A23" s="5" t="s">
        <v>149</v>
      </c>
      <c r="B23" s="15" t="s">
        <v>94</v>
      </c>
      <c r="C23" s="6" t="n">
        <f aca="false">前提!$C$34*前提!$B$5</f>
        <v>9855</v>
      </c>
      <c r="D23" s="6" t="n">
        <f aca="false">前提!$C$34*前提!$B$5</f>
        <v>9855</v>
      </c>
      <c r="E23" s="6" t="n">
        <f aca="false">前提!$C$34*前提!$B$5</f>
        <v>9855</v>
      </c>
      <c r="F23" s="6" t="n">
        <f aca="false">前提!$C$34*前提!$B$5</f>
        <v>9855</v>
      </c>
      <c r="G23" s="6" t="n">
        <f aca="false">前提!$C$34*前提!$B$5</f>
        <v>9855</v>
      </c>
      <c r="H23" s="18" t="n">
        <f aca="false">SUM(C23:G23)</f>
        <v>49275</v>
      </c>
      <c r="I23" s="7" t="s">
        <v>95</v>
      </c>
    </row>
    <row r="24" customFormat="false" ht="15" hidden="false" customHeight="false" outlineLevel="0" collapsed="false">
      <c r="A24" s="5" t="s">
        <v>149</v>
      </c>
      <c r="B24" s="15" t="s">
        <v>96</v>
      </c>
      <c r="C24" s="6" t="n">
        <f aca="false">前提!$C$35*前提!$B$5</f>
        <v>19500</v>
      </c>
      <c r="D24" s="6" t="n">
        <f aca="false">前提!$C$35*前提!$B$5</f>
        <v>19500</v>
      </c>
      <c r="E24" s="6" t="n">
        <f aca="false">前提!$C$35*前提!$B$5</f>
        <v>19500</v>
      </c>
      <c r="F24" s="6" t="n">
        <f aca="false">前提!$C$35*前提!$B$5</f>
        <v>19500</v>
      </c>
      <c r="G24" s="6" t="n">
        <f aca="false">前提!$C$35*前提!$B$5</f>
        <v>19500</v>
      </c>
      <c r="H24" s="18" t="n">
        <f aca="false">SUM(C24:G24)</f>
        <v>97500</v>
      </c>
      <c r="I24" s="7" t="s">
        <v>97</v>
      </c>
    </row>
    <row r="25" customFormat="false" ht="15" hidden="false" customHeight="false" outlineLevel="0" collapsed="false">
      <c r="A25" s="5" t="s">
        <v>149</v>
      </c>
      <c r="B25" s="15" t="s">
        <v>98</v>
      </c>
      <c r="C25" s="6" t="n">
        <f aca="false">前提!$C$36*前提!$B$5</f>
        <v>19500</v>
      </c>
      <c r="D25" s="6" t="n">
        <f aca="false">前提!$C$36*前提!$B$5</f>
        <v>19500</v>
      </c>
      <c r="E25" s="6" t="n">
        <f aca="false">前提!$C$36*前提!$B$5</f>
        <v>19500</v>
      </c>
      <c r="F25" s="6" t="n">
        <f aca="false">前提!$C$36*前提!$B$5</f>
        <v>19500</v>
      </c>
      <c r="G25" s="6" t="n">
        <f aca="false">前提!$C$36*前提!$B$5</f>
        <v>19500</v>
      </c>
      <c r="H25" s="18" t="n">
        <f aca="false">SUM(C25:G25)</f>
        <v>97500</v>
      </c>
      <c r="I25" s="7" t="s">
        <v>99</v>
      </c>
    </row>
    <row r="26" customFormat="false" ht="15" hidden="false" customHeight="false" outlineLevel="0" collapsed="false">
      <c r="B26" s="12" t="s">
        <v>152</v>
      </c>
      <c r="C26" s="18" t="n">
        <f aca="false">SUM(C22:C25)</f>
        <v>89355</v>
      </c>
      <c r="D26" s="18" t="n">
        <f aca="false">SUM(D22:D25)</f>
        <v>89355</v>
      </c>
      <c r="E26" s="18" t="n">
        <f aca="false">SUM(E22:E25)</f>
        <v>89355</v>
      </c>
      <c r="F26" s="18" t="n">
        <f aca="false">SUM(F22:F25)</f>
        <v>89355</v>
      </c>
      <c r="G26" s="18" t="n">
        <f aca="false">SUM(G22:G25)</f>
        <v>89355</v>
      </c>
      <c r="H26" s="18" t="n">
        <f aca="false">SUM(H22:H25)</f>
        <v>446775</v>
      </c>
    </row>
    <row r="28" customFormat="false" ht="15" hidden="false" customHeight="false" outlineLevel="0" collapsed="false">
      <c r="A28" s="23" t="s">
        <v>153</v>
      </c>
      <c r="B28" s="24"/>
      <c r="C28" s="24"/>
      <c r="D28" s="24"/>
      <c r="E28" s="24"/>
      <c r="F28" s="24"/>
      <c r="G28" s="24"/>
      <c r="H28" s="24"/>
      <c r="I28" s="24"/>
    </row>
    <row r="29" customFormat="false" ht="15" hidden="false" customHeight="false" outlineLevel="0" collapsed="false">
      <c r="A29" s="5" t="s">
        <v>154</v>
      </c>
      <c r="B29" s="15" t="s">
        <v>79</v>
      </c>
      <c r="C29" s="6" t="n">
        <f aca="false">IF(前提!$C$25=1,前提!$B$25*前提!$B$29,0)</f>
        <v>0</v>
      </c>
      <c r="D29" s="6" t="n">
        <f aca="false">IF(前提!$C$25=2,前提!$B$25*前提!$B$29,0)</f>
        <v>0</v>
      </c>
      <c r="E29" s="6" t="n">
        <f aca="false">IF(前提!$C$25=3,前提!$B$25*前提!$B$29,0)</f>
        <v>550000</v>
      </c>
      <c r="F29" s="6" t="n">
        <f aca="false">IF(前提!$C$25=4,前提!$B$25*前提!$B$29,0)</f>
        <v>0</v>
      </c>
      <c r="G29" s="6" t="n">
        <f aca="false">IF(前提!$C$25=5,前提!$B$25*前提!$B$29,0)</f>
        <v>0</v>
      </c>
      <c r="H29" s="18" t="n">
        <f aca="false">SUM(C29:G29)</f>
        <v>550000</v>
      </c>
    </row>
    <row r="30" customFormat="false" ht="15" hidden="false" customHeight="false" outlineLevel="0" collapsed="false">
      <c r="A30" s="5" t="s">
        <v>154</v>
      </c>
      <c r="B30" s="15" t="s">
        <v>81</v>
      </c>
      <c r="C30" s="6" t="n">
        <f aca="false">IF(前提!$C$26=1,前提!$B$26*前提!$B$29,0)</f>
        <v>0</v>
      </c>
      <c r="D30" s="6" t="n">
        <f aca="false">IF(前提!$C$26=2,前提!$B$26*前提!$B$29,0)</f>
        <v>-330000</v>
      </c>
      <c r="E30" s="6" t="n">
        <f aca="false">IF(前提!$C$26=3,前提!$B$26*前提!$B$29,0)</f>
        <v>0</v>
      </c>
      <c r="F30" s="6" t="n">
        <f aca="false">IF(前提!$C$26=4,前提!$B$26*前提!$B$29,0)</f>
        <v>0</v>
      </c>
      <c r="G30" s="6" t="n">
        <f aca="false">IF(前提!$C$26=5,前提!$B$26*前提!$B$29,0)</f>
        <v>0</v>
      </c>
      <c r="H30" s="18" t="n">
        <f aca="false">SUM(C30:G30)</f>
        <v>-330000</v>
      </c>
    </row>
    <row r="31" customFormat="false" ht="15" hidden="false" customHeight="false" outlineLevel="0" collapsed="false">
      <c r="A31" s="5" t="s">
        <v>154</v>
      </c>
      <c r="B31" s="15" t="s">
        <v>83</v>
      </c>
      <c r="C31" s="6" t="n">
        <f aca="false">IF(前提!$C$27=1,前提!$B$27*前提!$B$29,0)</f>
        <v>0</v>
      </c>
      <c r="D31" s="6" t="n">
        <f aca="false">IF(前提!$C$27=2,前提!$B$27*前提!$B$29,0)</f>
        <v>825000</v>
      </c>
      <c r="E31" s="6" t="n">
        <f aca="false">IF(前提!$C$27=3,前提!$B$27*前提!$B$29,0)</f>
        <v>0</v>
      </c>
      <c r="F31" s="6" t="n">
        <f aca="false">IF(前提!$C$27=4,前提!$B$27*前提!$B$29,0)</f>
        <v>0</v>
      </c>
      <c r="G31" s="6" t="n">
        <f aca="false">IF(前提!$C$27=5,前提!$B$27*前提!$B$29,0)</f>
        <v>0</v>
      </c>
      <c r="H31" s="18" t="n">
        <f aca="false">SUM(C31:G31)</f>
        <v>825000</v>
      </c>
    </row>
    <row r="32" customFormat="false" ht="15" hidden="false" customHeight="false" outlineLevel="0" collapsed="false">
      <c r="A32" s="5" t="s">
        <v>154</v>
      </c>
      <c r="B32" s="15" t="s">
        <v>85</v>
      </c>
      <c r="C32" s="6" t="n">
        <f aca="false">IF(前提!$C$28=1,前提!$B$28*前提!$B$29,0)</f>
        <v>0</v>
      </c>
      <c r="D32" s="6" t="n">
        <f aca="false">IF(前提!$C$28=2,前提!$B$28*前提!$B$29,0)</f>
        <v>0</v>
      </c>
      <c r="E32" s="6" t="n">
        <f aca="false">IF(前提!$C$28=3,前提!$B$28*前提!$B$29,0)</f>
        <v>1100000</v>
      </c>
      <c r="F32" s="6" t="n">
        <f aca="false">IF(前提!$C$28=4,前提!$B$28*前提!$B$29,0)</f>
        <v>0</v>
      </c>
      <c r="G32" s="6" t="n">
        <f aca="false">IF(前提!$C$28=5,前提!$B$28*前提!$B$29,0)</f>
        <v>0</v>
      </c>
      <c r="H32" s="18" t="n">
        <f aca="false">SUM(C32:G32)</f>
        <v>1100000</v>
      </c>
    </row>
    <row r="34" customFormat="false" ht="15" hidden="false" customHeight="false" outlineLevel="0" collapsed="false">
      <c r="A34" s="23" t="s">
        <v>155</v>
      </c>
      <c r="B34" s="24"/>
      <c r="C34" s="24"/>
      <c r="D34" s="24"/>
      <c r="E34" s="24"/>
      <c r="F34" s="24"/>
      <c r="G34" s="24"/>
      <c r="H34" s="24"/>
      <c r="I34" s="24"/>
    </row>
    <row r="35" customFormat="false" ht="15" hidden="false" customHeight="false" outlineLevel="0" collapsed="false">
      <c r="B35" s="25" t="s">
        <v>2</v>
      </c>
      <c r="C35" s="18" t="n">
        <f aca="false">C12+C19</f>
        <v>6508855</v>
      </c>
      <c r="D35" s="18" t="n">
        <f aca="false">D12+D19</f>
        <v>6508855</v>
      </c>
      <c r="E35" s="18" t="n">
        <f aca="false">E12+E19</f>
        <v>6508855</v>
      </c>
      <c r="F35" s="18" t="n">
        <f aca="false">F12+F19</f>
        <v>6508855</v>
      </c>
      <c r="G35" s="18" t="n">
        <f aca="false">G12+G19</f>
        <v>6508855</v>
      </c>
      <c r="H35" s="18" t="n">
        <f aca="false">H12+H19</f>
        <v>32544275</v>
      </c>
    </row>
    <row r="36" customFormat="false" ht="15" hidden="false" customHeight="false" outlineLevel="0" collapsed="false">
      <c r="B36" s="25" t="s">
        <v>3</v>
      </c>
      <c r="C36" s="18" t="n">
        <f aca="false">C12+C19+C29</f>
        <v>6508855</v>
      </c>
      <c r="D36" s="18" t="n">
        <f aca="false">D12+D19+D29</f>
        <v>6508855</v>
      </c>
      <c r="E36" s="18" t="n">
        <f aca="false">E12+E19+E29</f>
        <v>7058855</v>
      </c>
      <c r="F36" s="18" t="n">
        <f aca="false">F12+F19+F29</f>
        <v>6508855</v>
      </c>
      <c r="G36" s="18" t="n">
        <f aca="false">G12+G19+G29</f>
        <v>6508855</v>
      </c>
      <c r="H36" s="18" t="n">
        <f aca="false">H12+H19+H29</f>
        <v>33094275</v>
      </c>
    </row>
    <row r="37" customFormat="false" ht="15" hidden="false" customHeight="false" outlineLevel="0" collapsed="false">
      <c r="B37" s="25" t="s">
        <v>4</v>
      </c>
      <c r="C37" s="18" t="n">
        <f aca="false">C12+C26+C30</f>
        <v>6489355</v>
      </c>
      <c r="D37" s="18" t="n">
        <f aca="false">D12+D26+D30</f>
        <v>6159355</v>
      </c>
      <c r="E37" s="18" t="n">
        <f aca="false">E12+E26+E30</f>
        <v>6489355</v>
      </c>
      <c r="F37" s="18" t="n">
        <f aca="false">F12+F26+F30</f>
        <v>6489355</v>
      </c>
      <c r="G37" s="18" t="n">
        <f aca="false">G12+G26+G30</f>
        <v>6489355</v>
      </c>
      <c r="H37" s="18" t="n">
        <f aca="false">H12+H26+H30</f>
        <v>32116775</v>
      </c>
    </row>
    <row r="38" customFormat="false" ht="15" hidden="false" customHeight="false" outlineLevel="0" collapsed="false">
      <c r="B38" s="25" t="s">
        <v>5</v>
      </c>
      <c r="C38" s="18" t="n">
        <f aca="false">C12+C26+C30+C31+C32</f>
        <v>6489355</v>
      </c>
      <c r="D38" s="18" t="n">
        <f aca="false">D12+D26+D30+D31+D32</f>
        <v>6984355</v>
      </c>
      <c r="E38" s="18" t="n">
        <f aca="false">E12+E26+E30+E31+E32</f>
        <v>7589355</v>
      </c>
      <c r="F38" s="18" t="n">
        <f aca="false">F12+F26+F30+F31+F32</f>
        <v>6489355</v>
      </c>
      <c r="G38" s="18" t="n">
        <f aca="false">G12+G26+G30+G31+G32</f>
        <v>6489355</v>
      </c>
      <c r="H38" s="18" t="n">
        <f aca="false">H12+H26+H30+H31+H32</f>
        <v>34041775</v>
      </c>
    </row>
    <row r="40" customFormat="false" ht="15" hidden="false" customHeight="false" outlineLevel="0" collapsed="false">
      <c r="B40" s="5" t="s">
        <v>156</v>
      </c>
      <c r="C40" s="16" t="n">
        <v>0.15</v>
      </c>
      <c r="D40" s="2" t="s">
        <v>157</v>
      </c>
    </row>
    <row r="41" customFormat="false" ht="15" hidden="false" customHeight="false" outlineLevel="0" collapsed="false">
      <c r="B41" s="25" t="s">
        <v>158</v>
      </c>
      <c r="H41" s="18" t="n">
        <f aca="false">H35*(1+$C$40)</f>
        <v>37425916.25</v>
      </c>
    </row>
    <row r="42" customFormat="false" ht="15" hidden="false" customHeight="false" outlineLevel="0" collapsed="false">
      <c r="B42" s="25" t="s">
        <v>159</v>
      </c>
      <c r="H42" s="18" t="n">
        <f aca="false">H36*(1+$C$40)</f>
        <v>38058416.25</v>
      </c>
    </row>
    <row r="43" customFormat="false" ht="15" hidden="false" customHeight="false" outlineLevel="0" collapsed="false">
      <c r="B43" s="25" t="s">
        <v>160</v>
      </c>
      <c r="H43" s="18" t="n">
        <f aca="false">H37*(1+$C$40)</f>
        <v>36934291.25</v>
      </c>
    </row>
    <row r="44" customFormat="false" ht="15" hidden="false" customHeight="false" outlineLevel="0" collapsed="false">
      <c r="B44" s="25" t="s">
        <v>161</v>
      </c>
      <c r="H44" s="18" t="n">
        <f aca="false">H38*(1+$C$40)</f>
        <v>39148041.25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171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3" min="3" style="0" width="40"/>
    <col collapsed="false" customWidth="true" hidden="false" outlineLevel="0" max="5" min="4" style="0" width="11"/>
    <col collapsed="false" customWidth="true" hidden="false" outlineLevel="0" max="6" min="6" style="0" width="12"/>
    <col collapsed="false" customWidth="true" hidden="false" outlineLevel="0" max="42" min="7" style="0" width="11"/>
    <col collapsed="false" customWidth="true" hidden="false" outlineLevel="0" max="45" min="43" style="0" width="13"/>
    <col collapsed="false" customWidth="true" hidden="false" outlineLevel="0" max="46" min="46" style="0" width="14"/>
  </cols>
  <sheetData>
    <row r="1" customFormat="false" ht="19.4" hidden="false" customHeight="false" outlineLevel="0" collapsed="false">
      <c r="A1" s="22" t="s">
        <v>162</v>
      </c>
    </row>
    <row r="2" customFormat="false" ht="15" hidden="false" customHeight="false" outlineLevel="0" collapsed="false">
      <c r="A2" s="2" t="s">
        <v>163</v>
      </c>
    </row>
    <row r="4" customFormat="false" ht="15" hidden="false" customHeight="false" outlineLevel="0" collapsed="false">
      <c r="A4" s="3" t="s">
        <v>137</v>
      </c>
      <c r="B4" s="3" t="s">
        <v>164</v>
      </c>
      <c r="C4" s="3" t="s">
        <v>165</v>
      </c>
      <c r="D4" s="3" t="s">
        <v>166</v>
      </c>
      <c r="E4" s="3" t="s">
        <v>167</v>
      </c>
      <c r="F4" s="3" t="s">
        <v>40</v>
      </c>
      <c r="G4" s="4" t="s">
        <v>168</v>
      </c>
      <c r="H4" s="4" t="s">
        <v>169</v>
      </c>
      <c r="I4" s="4" t="s">
        <v>170</v>
      </c>
      <c r="J4" s="4" t="s">
        <v>171</v>
      </c>
      <c r="K4" s="4" t="s">
        <v>172</v>
      </c>
      <c r="L4" s="4" t="s">
        <v>173</v>
      </c>
      <c r="M4" s="4" t="s">
        <v>174</v>
      </c>
      <c r="N4" s="4" t="s">
        <v>175</v>
      </c>
      <c r="O4" s="4" t="s">
        <v>176</v>
      </c>
      <c r="P4" s="4" t="s">
        <v>177</v>
      </c>
      <c r="Q4" s="4" t="s">
        <v>178</v>
      </c>
      <c r="R4" s="4" t="s">
        <v>179</v>
      </c>
      <c r="S4" s="4" t="s">
        <v>180</v>
      </c>
      <c r="T4" s="4" t="s">
        <v>181</v>
      </c>
      <c r="U4" s="4" t="s">
        <v>182</v>
      </c>
      <c r="V4" s="4" t="s">
        <v>183</v>
      </c>
      <c r="W4" s="4" t="s">
        <v>184</v>
      </c>
      <c r="X4" s="4" t="s">
        <v>185</v>
      </c>
      <c r="Y4" s="4" t="s">
        <v>186</v>
      </c>
      <c r="Z4" s="4" t="s">
        <v>187</v>
      </c>
      <c r="AA4" s="4" t="s">
        <v>188</v>
      </c>
      <c r="AB4" s="4" t="s">
        <v>189</v>
      </c>
      <c r="AC4" s="4" t="s">
        <v>190</v>
      </c>
      <c r="AD4" s="4" t="s">
        <v>191</v>
      </c>
      <c r="AE4" s="4" t="s">
        <v>192</v>
      </c>
      <c r="AF4" s="4" t="s">
        <v>193</v>
      </c>
      <c r="AG4" s="4" t="s">
        <v>194</v>
      </c>
      <c r="AH4" s="4" t="s">
        <v>195</v>
      </c>
      <c r="AI4" s="4" t="s">
        <v>196</v>
      </c>
      <c r="AJ4" s="4" t="s">
        <v>197</v>
      </c>
      <c r="AK4" s="4" t="s">
        <v>198</v>
      </c>
      <c r="AL4" s="4" t="s">
        <v>199</v>
      </c>
      <c r="AM4" s="4" t="s">
        <v>200</v>
      </c>
      <c r="AN4" s="4" t="s">
        <v>201</v>
      </c>
      <c r="AO4" s="4" t="s">
        <v>202</v>
      </c>
      <c r="AP4" s="4" t="s">
        <v>203</v>
      </c>
      <c r="AQ4" s="3" t="s">
        <v>204</v>
      </c>
      <c r="AR4" s="3" t="s">
        <v>205</v>
      </c>
      <c r="AS4" s="3" t="s">
        <v>206</v>
      </c>
      <c r="AT4" s="4" t="s">
        <v>207</v>
      </c>
    </row>
    <row r="5" customFormat="false" ht="15" hidden="false" customHeight="false" outlineLevel="0" collapsed="false">
      <c r="A5" s="23" t="s">
        <v>208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</row>
    <row r="6" customFormat="false" ht="15" hidden="false" customHeight="false" outlineLevel="0" collapsed="false">
      <c r="A6" s="5" t="s">
        <v>209</v>
      </c>
      <c r="B6" s="15" t="s">
        <v>210</v>
      </c>
      <c r="C6" s="2" t="s">
        <v>211</v>
      </c>
      <c r="D6" s="14" t="n">
        <v>2</v>
      </c>
      <c r="E6" s="14" t="n">
        <v>4</v>
      </c>
      <c r="F6" s="5" t="s">
        <v>212</v>
      </c>
      <c r="G6" s="26" t="n">
        <f aca="false">IF(1&gt;=前提!$B$8,$E6,$D6)*(前提!$B$40*1+前提!$B$41*2)*前提!$B$6</f>
        <v>72.0802</v>
      </c>
      <c r="H6" s="26" t="n">
        <f aca="false">IF(2&gt;=前提!$B$8,$E6,$D6)*(前提!$B$40*1+前提!$B$41*2)*前提!$B$6</f>
        <v>72.0802</v>
      </c>
      <c r="I6" s="26" t="n">
        <f aca="false">IF(3&gt;=前提!$B$8,$E6,$D6)*(前提!$B$40*1+前提!$B$41*2)*前提!$B$6</f>
        <v>72.0802</v>
      </c>
      <c r="J6" s="26" t="n">
        <f aca="false">IF(4&gt;=前提!$B$8,$E6,$D6)*(前提!$B$40*1+前提!$B$41*2)*前提!$B$6</f>
        <v>72.0802</v>
      </c>
      <c r="K6" s="26" t="n">
        <f aca="false">IF(5&gt;=前提!$B$8,$E6,$D6)*(前提!$B$40*1+前提!$B$41*2)*前提!$B$6</f>
        <v>72.0802</v>
      </c>
      <c r="L6" s="26" t="n">
        <f aca="false">IF(6&gt;=前提!$B$8,$E6,$D6)*(前提!$B$40*1+前提!$B$41*2)*前提!$B$6</f>
        <v>72.0802</v>
      </c>
      <c r="M6" s="26" t="n">
        <f aca="false">IF(7&gt;=前提!$B$8,$E6,$D6)*(前提!$B$40*1+前提!$B$41*2)*前提!$B$6</f>
        <v>72.0802</v>
      </c>
      <c r="N6" s="26" t="n">
        <f aca="false">IF(8&gt;=前提!$B$8,$E6,$D6)*(前提!$B$40*1+前提!$B$41*2)*前提!$B$6</f>
        <v>72.0802</v>
      </c>
      <c r="O6" s="26" t="n">
        <f aca="false">IF(9&gt;=前提!$B$8,$E6,$D6)*(前提!$B$40*1+前提!$B$41*2)*前提!$B$6</f>
        <v>72.0802</v>
      </c>
      <c r="P6" s="26" t="n">
        <f aca="false">IF(10&gt;=前提!$B$8,$E6,$D6)*(前提!$B$40*1+前提!$B$41*2)*前提!$B$6</f>
        <v>72.0802</v>
      </c>
      <c r="Q6" s="26" t="n">
        <f aca="false">IF(11&gt;=前提!$B$8,$E6,$D6)*(前提!$B$40*1+前提!$B$41*2)*前提!$B$6</f>
        <v>72.0802</v>
      </c>
      <c r="R6" s="26" t="n">
        <f aca="false">IF(12&gt;=前提!$B$8,$E6,$D6)*(前提!$B$40*1+前提!$B$41*2)*前提!$B$6</f>
        <v>72.0802</v>
      </c>
      <c r="S6" s="26" t="n">
        <f aca="false">IF(13&gt;=前提!$B$8,$E6,$D6)*(前提!$B$40*1+前提!$B$41*2)*前提!$B$6</f>
        <v>144.1604</v>
      </c>
      <c r="T6" s="26" t="n">
        <f aca="false">IF(14&gt;=前提!$B$8,$E6,$D6)*(前提!$B$40*1+前提!$B$41*2)*前提!$B$6</f>
        <v>144.1604</v>
      </c>
      <c r="U6" s="26" t="n">
        <f aca="false">IF(15&gt;=前提!$B$8,$E6,$D6)*(前提!$B$40*1+前提!$B$41*2)*前提!$B$6</f>
        <v>144.1604</v>
      </c>
      <c r="V6" s="26" t="n">
        <f aca="false">IF(16&gt;=前提!$B$8,$E6,$D6)*(前提!$B$40*1+前提!$B$41*2)*前提!$B$6</f>
        <v>144.1604</v>
      </c>
      <c r="W6" s="26" t="n">
        <f aca="false">IF(17&gt;=前提!$B$8,$E6,$D6)*(前提!$B$40*1+前提!$B$41*2)*前提!$B$6</f>
        <v>144.1604</v>
      </c>
      <c r="X6" s="26" t="n">
        <f aca="false">IF(18&gt;=前提!$B$8,$E6,$D6)*(前提!$B$40*1+前提!$B$41*2)*前提!$B$6</f>
        <v>144.1604</v>
      </c>
      <c r="Y6" s="26" t="n">
        <f aca="false">IF(19&gt;=前提!$B$8,$E6,$D6)*(前提!$B$40*1+前提!$B$41*2)*前提!$B$6</f>
        <v>144.1604</v>
      </c>
      <c r="Z6" s="26" t="n">
        <f aca="false">IF(20&gt;=前提!$B$8,$E6,$D6)*(前提!$B$40*1+前提!$B$41*2)*前提!$B$6</f>
        <v>144.1604</v>
      </c>
      <c r="AA6" s="26" t="n">
        <f aca="false">IF(21&gt;=前提!$B$8,$E6,$D6)*(前提!$B$40*1+前提!$B$41*2)*前提!$B$6</f>
        <v>144.1604</v>
      </c>
      <c r="AB6" s="26" t="n">
        <f aca="false">IF(22&gt;=前提!$B$8,$E6,$D6)*(前提!$B$40*1+前提!$B$41*2)*前提!$B$6</f>
        <v>144.1604</v>
      </c>
      <c r="AC6" s="26" t="n">
        <f aca="false">IF(23&gt;=前提!$B$8,$E6,$D6)*(前提!$B$40*1+前提!$B$41*2)*前提!$B$6</f>
        <v>144.1604</v>
      </c>
      <c r="AD6" s="26" t="n">
        <f aca="false">IF(24&gt;=前提!$B$8,$E6,$D6)*(前提!$B$40*1+前提!$B$41*2)*前提!$B$6</f>
        <v>144.1604</v>
      </c>
      <c r="AE6" s="26" t="n">
        <f aca="false">IF(25&gt;=前提!$B$8,$E6,$D6)*(前提!$B$40*1+前提!$B$41*2)*前提!$B$6</f>
        <v>144.1604</v>
      </c>
      <c r="AF6" s="26" t="n">
        <f aca="false">IF(26&gt;=前提!$B$8,$E6,$D6)*(前提!$B$40*1+前提!$B$41*2)*前提!$B$6</f>
        <v>144.1604</v>
      </c>
      <c r="AG6" s="26" t="n">
        <f aca="false">IF(27&gt;=前提!$B$8,$E6,$D6)*(前提!$B$40*1+前提!$B$41*2)*前提!$B$6</f>
        <v>144.1604</v>
      </c>
      <c r="AH6" s="26" t="n">
        <f aca="false">IF(28&gt;=前提!$B$8,$E6,$D6)*(前提!$B$40*1+前提!$B$41*2)*前提!$B$6</f>
        <v>144.1604</v>
      </c>
      <c r="AI6" s="26" t="n">
        <f aca="false">IF(29&gt;=前提!$B$8,$E6,$D6)*(前提!$B$40*1+前提!$B$41*2)*前提!$B$6</f>
        <v>144.1604</v>
      </c>
      <c r="AJ6" s="26" t="n">
        <f aca="false">IF(30&gt;=前提!$B$8,$E6,$D6)*(前提!$B$40*1+前提!$B$41*2)*前提!$B$6</f>
        <v>144.1604</v>
      </c>
      <c r="AK6" s="26" t="n">
        <f aca="false">IF(31&gt;=前提!$B$8,$E6,$D6)*(前提!$B$40*1+前提!$B$41*2)*前提!$B$6</f>
        <v>144.1604</v>
      </c>
      <c r="AL6" s="26" t="n">
        <f aca="false">IF(32&gt;=前提!$B$8,$E6,$D6)*(前提!$B$40*1+前提!$B$41*2)*前提!$B$6</f>
        <v>144.1604</v>
      </c>
      <c r="AM6" s="26" t="n">
        <f aca="false">IF(33&gt;=前提!$B$8,$E6,$D6)*(前提!$B$40*1+前提!$B$41*2)*前提!$B$6</f>
        <v>144.1604</v>
      </c>
      <c r="AN6" s="26" t="n">
        <f aca="false">IF(34&gt;=前提!$B$8,$E6,$D6)*(前提!$B$40*1+前提!$B$41*2)*前提!$B$6</f>
        <v>144.1604</v>
      </c>
      <c r="AO6" s="26" t="n">
        <f aca="false">IF(35&gt;=前提!$B$8,$E6,$D6)*(前提!$B$40*1+前提!$B$41*2)*前提!$B$6</f>
        <v>144.1604</v>
      </c>
      <c r="AP6" s="26" t="n">
        <f aca="false">IF(36&gt;=前提!$B$8,$E6,$D6)*(前提!$B$40*1+前提!$B$41*2)*前提!$B$6</f>
        <v>144.1604</v>
      </c>
      <c r="AQ6" s="27" t="n">
        <f aca="false">SUM(G6:R6)</f>
        <v>864.9624</v>
      </c>
      <c r="AR6" s="27" t="n">
        <f aca="false">SUM(S6:AD6)</f>
        <v>1729.9248</v>
      </c>
      <c r="AS6" s="27" t="n">
        <f aca="false">SUM(AE6:AP6)</f>
        <v>1729.9248</v>
      </c>
      <c r="AT6" s="27" t="n">
        <f aca="false">SUM(G6:AP6)</f>
        <v>4324.812</v>
      </c>
    </row>
    <row r="7" customFormat="false" ht="15" hidden="false" customHeight="false" outlineLevel="0" collapsed="false">
      <c r="A7" s="5" t="s">
        <v>209</v>
      </c>
      <c r="B7" s="15" t="s">
        <v>213</v>
      </c>
      <c r="C7" s="2" t="s">
        <v>214</v>
      </c>
      <c r="D7" s="14" t="n">
        <v>2</v>
      </c>
      <c r="E7" s="14" t="n">
        <v>4</v>
      </c>
      <c r="F7" s="5" t="s">
        <v>212</v>
      </c>
      <c r="G7" s="26" t="n">
        <f aca="false">IF(1&gt;=前提!$B$8,$E7,$D7)*(前提!$B$40*0.5+前提!$B$41*1)*前提!$B$6</f>
        <v>36.0401</v>
      </c>
      <c r="H7" s="26" t="n">
        <f aca="false">IF(2&gt;=前提!$B$8,$E7,$D7)*(前提!$B$40*0.5+前提!$B$41*1)*前提!$B$6</f>
        <v>36.0401</v>
      </c>
      <c r="I7" s="26" t="n">
        <f aca="false">IF(3&gt;=前提!$B$8,$E7,$D7)*(前提!$B$40*0.5+前提!$B$41*1)*前提!$B$6</f>
        <v>36.0401</v>
      </c>
      <c r="J7" s="26" t="n">
        <f aca="false">IF(4&gt;=前提!$B$8,$E7,$D7)*(前提!$B$40*0.5+前提!$B$41*1)*前提!$B$6</f>
        <v>36.0401</v>
      </c>
      <c r="K7" s="26" t="n">
        <f aca="false">IF(5&gt;=前提!$B$8,$E7,$D7)*(前提!$B$40*0.5+前提!$B$41*1)*前提!$B$6</f>
        <v>36.0401</v>
      </c>
      <c r="L7" s="26" t="n">
        <f aca="false">IF(6&gt;=前提!$B$8,$E7,$D7)*(前提!$B$40*0.5+前提!$B$41*1)*前提!$B$6</f>
        <v>36.0401</v>
      </c>
      <c r="M7" s="26" t="n">
        <f aca="false">IF(7&gt;=前提!$B$8,$E7,$D7)*(前提!$B$40*0.5+前提!$B$41*1)*前提!$B$6</f>
        <v>36.0401</v>
      </c>
      <c r="N7" s="26" t="n">
        <f aca="false">IF(8&gt;=前提!$B$8,$E7,$D7)*(前提!$B$40*0.5+前提!$B$41*1)*前提!$B$6</f>
        <v>36.0401</v>
      </c>
      <c r="O7" s="26" t="n">
        <f aca="false">IF(9&gt;=前提!$B$8,$E7,$D7)*(前提!$B$40*0.5+前提!$B$41*1)*前提!$B$6</f>
        <v>36.0401</v>
      </c>
      <c r="P7" s="26" t="n">
        <f aca="false">IF(10&gt;=前提!$B$8,$E7,$D7)*(前提!$B$40*0.5+前提!$B$41*1)*前提!$B$6</f>
        <v>36.0401</v>
      </c>
      <c r="Q7" s="26" t="n">
        <f aca="false">IF(11&gt;=前提!$B$8,$E7,$D7)*(前提!$B$40*0.5+前提!$B$41*1)*前提!$B$6</f>
        <v>36.0401</v>
      </c>
      <c r="R7" s="26" t="n">
        <f aca="false">IF(12&gt;=前提!$B$8,$E7,$D7)*(前提!$B$40*0.5+前提!$B$41*1)*前提!$B$6</f>
        <v>36.0401</v>
      </c>
      <c r="S7" s="26" t="n">
        <f aca="false">IF(13&gt;=前提!$B$8,$E7,$D7)*(前提!$B$40*0.5+前提!$B$41*1)*前提!$B$6</f>
        <v>72.0802</v>
      </c>
      <c r="T7" s="26" t="n">
        <f aca="false">IF(14&gt;=前提!$B$8,$E7,$D7)*(前提!$B$40*0.5+前提!$B$41*1)*前提!$B$6</f>
        <v>72.0802</v>
      </c>
      <c r="U7" s="26" t="n">
        <f aca="false">IF(15&gt;=前提!$B$8,$E7,$D7)*(前提!$B$40*0.5+前提!$B$41*1)*前提!$B$6</f>
        <v>72.0802</v>
      </c>
      <c r="V7" s="26" t="n">
        <f aca="false">IF(16&gt;=前提!$B$8,$E7,$D7)*(前提!$B$40*0.5+前提!$B$41*1)*前提!$B$6</f>
        <v>72.0802</v>
      </c>
      <c r="W7" s="26" t="n">
        <f aca="false">IF(17&gt;=前提!$B$8,$E7,$D7)*(前提!$B$40*0.5+前提!$B$41*1)*前提!$B$6</f>
        <v>72.0802</v>
      </c>
      <c r="X7" s="26" t="n">
        <f aca="false">IF(18&gt;=前提!$B$8,$E7,$D7)*(前提!$B$40*0.5+前提!$B$41*1)*前提!$B$6</f>
        <v>72.0802</v>
      </c>
      <c r="Y7" s="26" t="n">
        <f aca="false">IF(19&gt;=前提!$B$8,$E7,$D7)*(前提!$B$40*0.5+前提!$B$41*1)*前提!$B$6</f>
        <v>72.0802</v>
      </c>
      <c r="Z7" s="26" t="n">
        <f aca="false">IF(20&gt;=前提!$B$8,$E7,$D7)*(前提!$B$40*0.5+前提!$B$41*1)*前提!$B$6</f>
        <v>72.0802</v>
      </c>
      <c r="AA7" s="26" t="n">
        <f aca="false">IF(21&gt;=前提!$B$8,$E7,$D7)*(前提!$B$40*0.5+前提!$B$41*1)*前提!$B$6</f>
        <v>72.0802</v>
      </c>
      <c r="AB7" s="26" t="n">
        <f aca="false">IF(22&gt;=前提!$B$8,$E7,$D7)*(前提!$B$40*0.5+前提!$B$41*1)*前提!$B$6</f>
        <v>72.0802</v>
      </c>
      <c r="AC7" s="26" t="n">
        <f aca="false">IF(23&gt;=前提!$B$8,$E7,$D7)*(前提!$B$40*0.5+前提!$B$41*1)*前提!$B$6</f>
        <v>72.0802</v>
      </c>
      <c r="AD7" s="26" t="n">
        <f aca="false">IF(24&gt;=前提!$B$8,$E7,$D7)*(前提!$B$40*0.5+前提!$B$41*1)*前提!$B$6</f>
        <v>72.0802</v>
      </c>
      <c r="AE7" s="26" t="n">
        <f aca="false">IF(25&gt;=前提!$B$8,$E7,$D7)*(前提!$B$40*0.5+前提!$B$41*1)*前提!$B$6</f>
        <v>72.0802</v>
      </c>
      <c r="AF7" s="26" t="n">
        <f aca="false">IF(26&gt;=前提!$B$8,$E7,$D7)*(前提!$B$40*0.5+前提!$B$41*1)*前提!$B$6</f>
        <v>72.0802</v>
      </c>
      <c r="AG7" s="26" t="n">
        <f aca="false">IF(27&gt;=前提!$B$8,$E7,$D7)*(前提!$B$40*0.5+前提!$B$41*1)*前提!$B$6</f>
        <v>72.0802</v>
      </c>
      <c r="AH7" s="26" t="n">
        <f aca="false">IF(28&gt;=前提!$B$8,$E7,$D7)*(前提!$B$40*0.5+前提!$B$41*1)*前提!$B$6</f>
        <v>72.0802</v>
      </c>
      <c r="AI7" s="26" t="n">
        <f aca="false">IF(29&gt;=前提!$B$8,$E7,$D7)*(前提!$B$40*0.5+前提!$B$41*1)*前提!$B$6</f>
        <v>72.0802</v>
      </c>
      <c r="AJ7" s="26" t="n">
        <f aca="false">IF(30&gt;=前提!$B$8,$E7,$D7)*(前提!$B$40*0.5+前提!$B$41*1)*前提!$B$6</f>
        <v>72.0802</v>
      </c>
      <c r="AK7" s="26" t="n">
        <f aca="false">IF(31&gt;=前提!$B$8,$E7,$D7)*(前提!$B$40*0.5+前提!$B$41*1)*前提!$B$6</f>
        <v>72.0802</v>
      </c>
      <c r="AL7" s="26" t="n">
        <f aca="false">IF(32&gt;=前提!$B$8,$E7,$D7)*(前提!$B$40*0.5+前提!$B$41*1)*前提!$B$6</f>
        <v>72.0802</v>
      </c>
      <c r="AM7" s="26" t="n">
        <f aca="false">IF(33&gt;=前提!$B$8,$E7,$D7)*(前提!$B$40*0.5+前提!$B$41*1)*前提!$B$6</f>
        <v>72.0802</v>
      </c>
      <c r="AN7" s="26" t="n">
        <f aca="false">IF(34&gt;=前提!$B$8,$E7,$D7)*(前提!$B$40*0.5+前提!$B$41*1)*前提!$B$6</f>
        <v>72.0802</v>
      </c>
      <c r="AO7" s="26" t="n">
        <f aca="false">IF(35&gt;=前提!$B$8,$E7,$D7)*(前提!$B$40*0.5+前提!$B$41*1)*前提!$B$6</f>
        <v>72.0802</v>
      </c>
      <c r="AP7" s="26" t="n">
        <f aca="false">IF(36&gt;=前提!$B$8,$E7,$D7)*(前提!$B$40*0.5+前提!$B$41*1)*前提!$B$6</f>
        <v>72.0802</v>
      </c>
      <c r="AQ7" s="27" t="n">
        <f aca="false">SUM(G7:R7)</f>
        <v>432.4812</v>
      </c>
      <c r="AR7" s="27" t="n">
        <f aca="false">SUM(S7:AD7)</f>
        <v>864.9624</v>
      </c>
      <c r="AS7" s="27" t="n">
        <f aca="false">SUM(AE7:AP7)</f>
        <v>864.9624</v>
      </c>
      <c r="AT7" s="27" t="n">
        <f aca="false">SUM(G7:AP7)</f>
        <v>2162.406</v>
      </c>
    </row>
    <row r="8" customFormat="false" ht="15" hidden="false" customHeight="false" outlineLevel="0" collapsed="false">
      <c r="A8" s="5" t="s">
        <v>215</v>
      </c>
      <c r="B8" s="15" t="s">
        <v>216</v>
      </c>
      <c r="C8" s="2" t="s">
        <v>217</v>
      </c>
      <c r="D8" s="14" t="n">
        <v>1</v>
      </c>
      <c r="E8" s="14" t="n">
        <v>1</v>
      </c>
      <c r="F8" s="5" t="s">
        <v>218</v>
      </c>
      <c r="G8" s="26" t="n">
        <f aca="false">IF(1&gt;=前提!$B$8,$E8,$D8)*前提!$B$42*前提!$B$6</f>
        <v>16.425</v>
      </c>
      <c r="H8" s="26" t="n">
        <f aca="false">IF(2&gt;=前提!$B$8,$E8,$D8)*前提!$B$42*前提!$B$6</f>
        <v>16.425</v>
      </c>
      <c r="I8" s="26" t="n">
        <f aca="false">IF(3&gt;=前提!$B$8,$E8,$D8)*前提!$B$42*前提!$B$6</f>
        <v>16.425</v>
      </c>
      <c r="J8" s="26" t="n">
        <f aca="false">IF(4&gt;=前提!$B$8,$E8,$D8)*前提!$B$42*前提!$B$6</f>
        <v>16.425</v>
      </c>
      <c r="K8" s="26" t="n">
        <f aca="false">IF(5&gt;=前提!$B$8,$E8,$D8)*前提!$B$42*前提!$B$6</f>
        <v>16.425</v>
      </c>
      <c r="L8" s="26" t="n">
        <f aca="false">IF(6&gt;=前提!$B$8,$E8,$D8)*前提!$B$42*前提!$B$6</f>
        <v>16.425</v>
      </c>
      <c r="M8" s="26" t="n">
        <f aca="false">IF(7&gt;=前提!$B$8,$E8,$D8)*前提!$B$42*前提!$B$6</f>
        <v>16.425</v>
      </c>
      <c r="N8" s="26" t="n">
        <f aca="false">IF(8&gt;=前提!$B$8,$E8,$D8)*前提!$B$42*前提!$B$6</f>
        <v>16.425</v>
      </c>
      <c r="O8" s="26" t="n">
        <f aca="false">IF(9&gt;=前提!$B$8,$E8,$D8)*前提!$B$42*前提!$B$6</f>
        <v>16.425</v>
      </c>
      <c r="P8" s="26" t="n">
        <f aca="false">IF(10&gt;=前提!$B$8,$E8,$D8)*前提!$B$42*前提!$B$6</f>
        <v>16.425</v>
      </c>
      <c r="Q8" s="26" t="n">
        <f aca="false">IF(11&gt;=前提!$B$8,$E8,$D8)*前提!$B$42*前提!$B$6</f>
        <v>16.425</v>
      </c>
      <c r="R8" s="26" t="n">
        <f aca="false">IF(12&gt;=前提!$B$8,$E8,$D8)*前提!$B$42*前提!$B$6</f>
        <v>16.425</v>
      </c>
      <c r="S8" s="26" t="n">
        <f aca="false">IF(13&gt;=前提!$B$8,$E8,$D8)*前提!$B$42*前提!$B$6</f>
        <v>16.425</v>
      </c>
      <c r="T8" s="26" t="n">
        <f aca="false">IF(14&gt;=前提!$B$8,$E8,$D8)*前提!$B$42*前提!$B$6</f>
        <v>16.425</v>
      </c>
      <c r="U8" s="26" t="n">
        <f aca="false">IF(15&gt;=前提!$B$8,$E8,$D8)*前提!$B$42*前提!$B$6</f>
        <v>16.425</v>
      </c>
      <c r="V8" s="26" t="n">
        <f aca="false">IF(16&gt;=前提!$B$8,$E8,$D8)*前提!$B$42*前提!$B$6</f>
        <v>16.425</v>
      </c>
      <c r="W8" s="26" t="n">
        <f aca="false">IF(17&gt;=前提!$B$8,$E8,$D8)*前提!$B$42*前提!$B$6</f>
        <v>16.425</v>
      </c>
      <c r="X8" s="26" t="n">
        <f aca="false">IF(18&gt;=前提!$B$8,$E8,$D8)*前提!$B$42*前提!$B$6</f>
        <v>16.425</v>
      </c>
      <c r="Y8" s="26" t="n">
        <f aca="false">IF(19&gt;=前提!$B$8,$E8,$D8)*前提!$B$42*前提!$B$6</f>
        <v>16.425</v>
      </c>
      <c r="Z8" s="26" t="n">
        <f aca="false">IF(20&gt;=前提!$B$8,$E8,$D8)*前提!$B$42*前提!$B$6</f>
        <v>16.425</v>
      </c>
      <c r="AA8" s="26" t="n">
        <f aca="false">IF(21&gt;=前提!$B$8,$E8,$D8)*前提!$B$42*前提!$B$6</f>
        <v>16.425</v>
      </c>
      <c r="AB8" s="26" t="n">
        <f aca="false">IF(22&gt;=前提!$B$8,$E8,$D8)*前提!$B$42*前提!$B$6</f>
        <v>16.425</v>
      </c>
      <c r="AC8" s="26" t="n">
        <f aca="false">IF(23&gt;=前提!$B$8,$E8,$D8)*前提!$B$42*前提!$B$6</f>
        <v>16.425</v>
      </c>
      <c r="AD8" s="26" t="n">
        <f aca="false">IF(24&gt;=前提!$B$8,$E8,$D8)*前提!$B$42*前提!$B$6</f>
        <v>16.425</v>
      </c>
      <c r="AE8" s="26" t="n">
        <f aca="false">IF(25&gt;=前提!$B$8,$E8,$D8)*前提!$B$42*前提!$B$6</f>
        <v>16.425</v>
      </c>
      <c r="AF8" s="26" t="n">
        <f aca="false">IF(26&gt;=前提!$B$8,$E8,$D8)*前提!$B$42*前提!$B$6</f>
        <v>16.425</v>
      </c>
      <c r="AG8" s="26" t="n">
        <f aca="false">IF(27&gt;=前提!$B$8,$E8,$D8)*前提!$B$42*前提!$B$6</f>
        <v>16.425</v>
      </c>
      <c r="AH8" s="26" t="n">
        <f aca="false">IF(28&gt;=前提!$B$8,$E8,$D8)*前提!$B$42*前提!$B$6</f>
        <v>16.425</v>
      </c>
      <c r="AI8" s="26" t="n">
        <f aca="false">IF(29&gt;=前提!$B$8,$E8,$D8)*前提!$B$42*前提!$B$6</f>
        <v>16.425</v>
      </c>
      <c r="AJ8" s="26" t="n">
        <f aca="false">IF(30&gt;=前提!$B$8,$E8,$D8)*前提!$B$42*前提!$B$6</f>
        <v>16.425</v>
      </c>
      <c r="AK8" s="26" t="n">
        <f aca="false">IF(31&gt;=前提!$B$8,$E8,$D8)*前提!$B$42*前提!$B$6</f>
        <v>16.425</v>
      </c>
      <c r="AL8" s="26" t="n">
        <f aca="false">IF(32&gt;=前提!$B$8,$E8,$D8)*前提!$B$42*前提!$B$6</f>
        <v>16.425</v>
      </c>
      <c r="AM8" s="26" t="n">
        <f aca="false">IF(33&gt;=前提!$B$8,$E8,$D8)*前提!$B$42*前提!$B$6</f>
        <v>16.425</v>
      </c>
      <c r="AN8" s="26" t="n">
        <f aca="false">IF(34&gt;=前提!$B$8,$E8,$D8)*前提!$B$42*前提!$B$6</f>
        <v>16.425</v>
      </c>
      <c r="AO8" s="26" t="n">
        <f aca="false">IF(35&gt;=前提!$B$8,$E8,$D8)*前提!$B$42*前提!$B$6</f>
        <v>16.425</v>
      </c>
      <c r="AP8" s="26" t="n">
        <f aca="false">IF(36&gt;=前提!$B$8,$E8,$D8)*前提!$B$42*前提!$B$6</f>
        <v>16.425</v>
      </c>
      <c r="AQ8" s="27" t="n">
        <f aca="false">SUM(G8:R8)</f>
        <v>197.1</v>
      </c>
      <c r="AR8" s="27" t="n">
        <f aca="false">SUM(S8:AD8)</f>
        <v>197.1</v>
      </c>
      <c r="AS8" s="27" t="n">
        <f aca="false">SUM(AE8:AP8)</f>
        <v>197.1</v>
      </c>
      <c r="AT8" s="27" t="n">
        <f aca="false">SUM(G8:AP8)</f>
        <v>591.3</v>
      </c>
    </row>
    <row r="9" customFormat="false" ht="15" hidden="false" customHeight="false" outlineLevel="0" collapsed="false">
      <c r="A9" s="5" t="s">
        <v>215</v>
      </c>
      <c r="B9" s="15" t="s">
        <v>219</v>
      </c>
      <c r="C9" s="2" t="s">
        <v>220</v>
      </c>
      <c r="D9" s="14" t="n">
        <v>5</v>
      </c>
      <c r="E9" s="14" t="n">
        <v>25</v>
      </c>
      <c r="F9" s="15" t="s">
        <v>221</v>
      </c>
      <c r="G9" s="26" t="n">
        <f aca="false">IF(1&gt;=前提!$B$8,$E9,$D9)</f>
        <v>5</v>
      </c>
      <c r="H9" s="26" t="n">
        <f aca="false">IF(2&gt;=前提!$B$8,$E9,$D9)</f>
        <v>5</v>
      </c>
      <c r="I9" s="26" t="n">
        <f aca="false">IF(3&gt;=前提!$B$8,$E9,$D9)</f>
        <v>5</v>
      </c>
      <c r="J9" s="26" t="n">
        <f aca="false">IF(4&gt;=前提!$B$8,$E9,$D9)</f>
        <v>5</v>
      </c>
      <c r="K9" s="26" t="n">
        <f aca="false">IF(5&gt;=前提!$B$8,$E9,$D9)</f>
        <v>5</v>
      </c>
      <c r="L9" s="26" t="n">
        <f aca="false">IF(6&gt;=前提!$B$8,$E9,$D9)</f>
        <v>5</v>
      </c>
      <c r="M9" s="26" t="n">
        <f aca="false">IF(7&gt;=前提!$B$8,$E9,$D9)</f>
        <v>5</v>
      </c>
      <c r="N9" s="26" t="n">
        <f aca="false">IF(8&gt;=前提!$B$8,$E9,$D9)</f>
        <v>5</v>
      </c>
      <c r="O9" s="26" t="n">
        <f aca="false">IF(9&gt;=前提!$B$8,$E9,$D9)</f>
        <v>5</v>
      </c>
      <c r="P9" s="26" t="n">
        <f aca="false">IF(10&gt;=前提!$B$8,$E9,$D9)</f>
        <v>5</v>
      </c>
      <c r="Q9" s="26" t="n">
        <f aca="false">IF(11&gt;=前提!$B$8,$E9,$D9)</f>
        <v>5</v>
      </c>
      <c r="R9" s="26" t="n">
        <f aca="false">IF(12&gt;=前提!$B$8,$E9,$D9)</f>
        <v>5</v>
      </c>
      <c r="S9" s="26" t="n">
        <f aca="false">IF(13&gt;=前提!$B$8,$E9,$D9)</f>
        <v>25</v>
      </c>
      <c r="T9" s="26" t="n">
        <f aca="false">IF(14&gt;=前提!$B$8,$E9,$D9)</f>
        <v>25</v>
      </c>
      <c r="U9" s="26" t="n">
        <f aca="false">IF(15&gt;=前提!$B$8,$E9,$D9)</f>
        <v>25</v>
      </c>
      <c r="V9" s="26" t="n">
        <f aca="false">IF(16&gt;=前提!$B$8,$E9,$D9)</f>
        <v>25</v>
      </c>
      <c r="W9" s="26" t="n">
        <f aca="false">IF(17&gt;=前提!$B$8,$E9,$D9)</f>
        <v>25</v>
      </c>
      <c r="X9" s="26" t="n">
        <f aca="false">IF(18&gt;=前提!$B$8,$E9,$D9)</f>
        <v>25</v>
      </c>
      <c r="Y9" s="26" t="n">
        <f aca="false">IF(19&gt;=前提!$B$8,$E9,$D9)</f>
        <v>25</v>
      </c>
      <c r="Z9" s="26" t="n">
        <f aca="false">IF(20&gt;=前提!$B$8,$E9,$D9)</f>
        <v>25</v>
      </c>
      <c r="AA9" s="26" t="n">
        <f aca="false">IF(21&gt;=前提!$B$8,$E9,$D9)</f>
        <v>25</v>
      </c>
      <c r="AB9" s="26" t="n">
        <f aca="false">IF(22&gt;=前提!$B$8,$E9,$D9)</f>
        <v>25</v>
      </c>
      <c r="AC9" s="26" t="n">
        <f aca="false">IF(23&gt;=前提!$B$8,$E9,$D9)</f>
        <v>25</v>
      </c>
      <c r="AD9" s="26" t="n">
        <f aca="false">IF(24&gt;=前提!$B$8,$E9,$D9)</f>
        <v>25</v>
      </c>
      <c r="AE9" s="26" t="n">
        <f aca="false">IF(25&gt;=前提!$B$8,$E9,$D9)</f>
        <v>25</v>
      </c>
      <c r="AF9" s="26" t="n">
        <f aca="false">IF(26&gt;=前提!$B$8,$E9,$D9)</f>
        <v>25</v>
      </c>
      <c r="AG9" s="26" t="n">
        <f aca="false">IF(27&gt;=前提!$B$8,$E9,$D9)</f>
        <v>25</v>
      </c>
      <c r="AH9" s="26" t="n">
        <f aca="false">IF(28&gt;=前提!$B$8,$E9,$D9)</f>
        <v>25</v>
      </c>
      <c r="AI9" s="26" t="n">
        <f aca="false">IF(29&gt;=前提!$B$8,$E9,$D9)</f>
        <v>25</v>
      </c>
      <c r="AJ9" s="26" t="n">
        <f aca="false">IF(30&gt;=前提!$B$8,$E9,$D9)</f>
        <v>25</v>
      </c>
      <c r="AK9" s="26" t="n">
        <f aca="false">IF(31&gt;=前提!$B$8,$E9,$D9)</f>
        <v>25</v>
      </c>
      <c r="AL9" s="26" t="n">
        <f aca="false">IF(32&gt;=前提!$B$8,$E9,$D9)</f>
        <v>25</v>
      </c>
      <c r="AM9" s="26" t="n">
        <f aca="false">IF(33&gt;=前提!$B$8,$E9,$D9)</f>
        <v>25</v>
      </c>
      <c r="AN9" s="26" t="n">
        <f aca="false">IF(34&gt;=前提!$B$8,$E9,$D9)</f>
        <v>25</v>
      </c>
      <c r="AO9" s="26" t="n">
        <f aca="false">IF(35&gt;=前提!$B$8,$E9,$D9)</f>
        <v>25</v>
      </c>
      <c r="AP9" s="26" t="n">
        <f aca="false">IF(36&gt;=前提!$B$8,$E9,$D9)</f>
        <v>25</v>
      </c>
      <c r="AQ9" s="27" t="n">
        <f aca="false">SUM(G9:R9)</f>
        <v>60</v>
      </c>
      <c r="AR9" s="27" t="n">
        <f aca="false">SUM(S9:AD9)</f>
        <v>300</v>
      </c>
      <c r="AS9" s="27" t="n">
        <f aca="false">SUM(AE9:AP9)</f>
        <v>300</v>
      </c>
      <c r="AT9" s="27" t="n">
        <f aca="false">SUM(G9:AP9)</f>
        <v>660</v>
      </c>
    </row>
    <row r="10" customFormat="false" ht="15" hidden="false" customHeight="false" outlineLevel="0" collapsed="false">
      <c r="A10" s="5" t="s">
        <v>215</v>
      </c>
      <c r="B10" s="15" t="s">
        <v>222</v>
      </c>
      <c r="C10" s="2" t="s">
        <v>223</v>
      </c>
      <c r="D10" s="14" t="n">
        <v>1</v>
      </c>
      <c r="E10" s="14" t="n">
        <v>2</v>
      </c>
      <c r="F10" s="5" t="s">
        <v>218</v>
      </c>
      <c r="G10" s="26" t="n">
        <f aca="false">IF(1&gt;=前提!$B$8,$E10,$D10)*前提!$B$43*前提!$B$6+3</f>
        <v>35.85</v>
      </c>
      <c r="H10" s="26" t="n">
        <f aca="false">IF(2&gt;=前提!$B$8,$E10,$D10)*前提!$B$43*前提!$B$6+3</f>
        <v>35.85</v>
      </c>
      <c r="I10" s="26" t="n">
        <f aca="false">IF(3&gt;=前提!$B$8,$E10,$D10)*前提!$B$43*前提!$B$6+3</f>
        <v>35.85</v>
      </c>
      <c r="J10" s="26" t="n">
        <f aca="false">IF(4&gt;=前提!$B$8,$E10,$D10)*前提!$B$43*前提!$B$6+3</f>
        <v>35.85</v>
      </c>
      <c r="K10" s="26" t="n">
        <f aca="false">IF(5&gt;=前提!$B$8,$E10,$D10)*前提!$B$43*前提!$B$6+3</f>
        <v>35.85</v>
      </c>
      <c r="L10" s="26" t="n">
        <f aca="false">IF(6&gt;=前提!$B$8,$E10,$D10)*前提!$B$43*前提!$B$6+3</f>
        <v>35.85</v>
      </c>
      <c r="M10" s="26" t="n">
        <f aca="false">IF(7&gt;=前提!$B$8,$E10,$D10)*前提!$B$43*前提!$B$6+3</f>
        <v>35.85</v>
      </c>
      <c r="N10" s="26" t="n">
        <f aca="false">IF(8&gt;=前提!$B$8,$E10,$D10)*前提!$B$43*前提!$B$6+3</f>
        <v>35.85</v>
      </c>
      <c r="O10" s="26" t="n">
        <f aca="false">IF(9&gt;=前提!$B$8,$E10,$D10)*前提!$B$43*前提!$B$6+3</f>
        <v>35.85</v>
      </c>
      <c r="P10" s="26" t="n">
        <f aca="false">IF(10&gt;=前提!$B$8,$E10,$D10)*前提!$B$43*前提!$B$6+3</f>
        <v>35.85</v>
      </c>
      <c r="Q10" s="26" t="n">
        <f aca="false">IF(11&gt;=前提!$B$8,$E10,$D10)*前提!$B$43*前提!$B$6+3</f>
        <v>35.85</v>
      </c>
      <c r="R10" s="26" t="n">
        <f aca="false">IF(12&gt;=前提!$B$8,$E10,$D10)*前提!$B$43*前提!$B$6+3</f>
        <v>35.85</v>
      </c>
      <c r="S10" s="26" t="n">
        <f aca="false">IF(13&gt;=前提!$B$8,$E10,$D10)*前提!$B$43*前提!$B$6+3</f>
        <v>68.7</v>
      </c>
      <c r="T10" s="26" t="n">
        <f aca="false">IF(14&gt;=前提!$B$8,$E10,$D10)*前提!$B$43*前提!$B$6+3</f>
        <v>68.7</v>
      </c>
      <c r="U10" s="26" t="n">
        <f aca="false">IF(15&gt;=前提!$B$8,$E10,$D10)*前提!$B$43*前提!$B$6+3</f>
        <v>68.7</v>
      </c>
      <c r="V10" s="26" t="n">
        <f aca="false">IF(16&gt;=前提!$B$8,$E10,$D10)*前提!$B$43*前提!$B$6+3</f>
        <v>68.7</v>
      </c>
      <c r="W10" s="26" t="n">
        <f aca="false">IF(17&gt;=前提!$B$8,$E10,$D10)*前提!$B$43*前提!$B$6+3</f>
        <v>68.7</v>
      </c>
      <c r="X10" s="26" t="n">
        <f aca="false">IF(18&gt;=前提!$B$8,$E10,$D10)*前提!$B$43*前提!$B$6+3</f>
        <v>68.7</v>
      </c>
      <c r="Y10" s="26" t="n">
        <f aca="false">IF(19&gt;=前提!$B$8,$E10,$D10)*前提!$B$43*前提!$B$6+3</f>
        <v>68.7</v>
      </c>
      <c r="Z10" s="26" t="n">
        <f aca="false">IF(20&gt;=前提!$B$8,$E10,$D10)*前提!$B$43*前提!$B$6+3</f>
        <v>68.7</v>
      </c>
      <c r="AA10" s="26" t="n">
        <f aca="false">IF(21&gt;=前提!$B$8,$E10,$D10)*前提!$B$43*前提!$B$6+3</f>
        <v>68.7</v>
      </c>
      <c r="AB10" s="26" t="n">
        <f aca="false">IF(22&gt;=前提!$B$8,$E10,$D10)*前提!$B$43*前提!$B$6+3</f>
        <v>68.7</v>
      </c>
      <c r="AC10" s="26" t="n">
        <f aca="false">IF(23&gt;=前提!$B$8,$E10,$D10)*前提!$B$43*前提!$B$6+3</f>
        <v>68.7</v>
      </c>
      <c r="AD10" s="26" t="n">
        <f aca="false">IF(24&gt;=前提!$B$8,$E10,$D10)*前提!$B$43*前提!$B$6+3</f>
        <v>68.7</v>
      </c>
      <c r="AE10" s="26" t="n">
        <f aca="false">IF(25&gt;=前提!$B$8,$E10,$D10)*前提!$B$43*前提!$B$6+3</f>
        <v>68.7</v>
      </c>
      <c r="AF10" s="26" t="n">
        <f aca="false">IF(26&gt;=前提!$B$8,$E10,$D10)*前提!$B$43*前提!$B$6+3</f>
        <v>68.7</v>
      </c>
      <c r="AG10" s="26" t="n">
        <f aca="false">IF(27&gt;=前提!$B$8,$E10,$D10)*前提!$B$43*前提!$B$6+3</f>
        <v>68.7</v>
      </c>
      <c r="AH10" s="26" t="n">
        <f aca="false">IF(28&gt;=前提!$B$8,$E10,$D10)*前提!$B$43*前提!$B$6+3</f>
        <v>68.7</v>
      </c>
      <c r="AI10" s="26" t="n">
        <f aca="false">IF(29&gt;=前提!$B$8,$E10,$D10)*前提!$B$43*前提!$B$6+3</f>
        <v>68.7</v>
      </c>
      <c r="AJ10" s="26" t="n">
        <f aca="false">IF(30&gt;=前提!$B$8,$E10,$D10)*前提!$B$43*前提!$B$6+3</f>
        <v>68.7</v>
      </c>
      <c r="AK10" s="26" t="n">
        <f aca="false">IF(31&gt;=前提!$B$8,$E10,$D10)*前提!$B$43*前提!$B$6+3</f>
        <v>68.7</v>
      </c>
      <c r="AL10" s="26" t="n">
        <f aca="false">IF(32&gt;=前提!$B$8,$E10,$D10)*前提!$B$43*前提!$B$6+3</f>
        <v>68.7</v>
      </c>
      <c r="AM10" s="26" t="n">
        <f aca="false">IF(33&gt;=前提!$B$8,$E10,$D10)*前提!$B$43*前提!$B$6+3</f>
        <v>68.7</v>
      </c>
      <c r="AN10" s="26" t="n">
        <f aca="false">IF(34&gt;=前提!$B$8,$E10,$D10)*前提!$B$43*前提!$B$6+3</f>
        <v>68.7</v>
      </c>
      <c r="AO10" s="26" t="n">
        <f aca="false">IF(35&gt;=前提!$B$8,$E10,$D10)*前提!$B$43*前提!$B$6+3</f>
        <v>68.7</v>
      </c>
      <c r="AP10" s="26" t="n">
        <f aca="false">IF(36&gt;=前提!$B$8,$E10,$D10)*前提!$B$43*前提!$B$6+3</f>
        <v>68.7</v>
      </c>
      <c r="AQ10" s="27" t="n">
        <f aca="false">SUM(G10:R10)</f>
        <v>430.2</v>
      </c>
      <c r="AR10" s="27" t="n">
        <f aca="false">SUM(S10:AD10)</f>
        <v>824.4</v>
      </c>
      <c r="AS10" s="27" t="n">
        <f aca="false">SUM(AE10:AP10)</f>
        <v>824.4</v>
      </c>
      <c r="AT10" s="27" t="n">
        <f aca="false">SUM(G10:AP10)</f>
        <v>2079</v>
      </c>
    </row>
    <row r="11" customFormat="false" ht="15" hidden="false" customHeight="false" outlineLevel="0" collapsed="false">
      <c r="A11" s="5" t="s">
        <v>224</v>
      </c>
      <c r="B11" s="15" t="s">
        <v>225</v>
      </c>
      <c r="C11" s="7" t="s">
        <v>226</v>
      </c>
      <c r="D11" s="14" t="n">
        <v>2</v>
      </c>
      <c r="E11" s="14" t="n">
        <v>8</v>
      </c>
      <c r="F11" s="15" t="s">
        <v>227</v>
      </c>
      <c r="G11" s="26" t="n">
        <f aca="false">IF(1&gt;=前提!$B$8,$E11,$D11)*前提!$B$46</f>
        <v>131.4</v>
      </c>
      <c r="H11" s="26" t="n">
        <f aca="false">IF(2&gt;=前提!$B$8,$E11,$D11)*前提!$B$46</f>
        <v>131.4</v>
      </c>
      <c r="I11" s="26" t="n">
        <f aca="false">IF(3&gt;=前提!$B$8,$E11,$D11)*前提!$B$46</f>
        <v>131.4</v>
      </c>
      <c r="J11" s="26" t="n">
        <f aca="false">IF(4&gt;=前提!$B$8,$E11,$D11)*前提!$B$46</f>
        <v>131.4</v>
      </c>
      <c r="K11" s="26" t="n">
        <f aca="false">IF(5&gt;=前提!$B$8,$E11,$D11)*前提!$B$46</f>
        <v>131.4</v>
      </c>
      <c r="L11" s="26" t="n">
        <f aca="false">IF(6&gt;=前提!$B$8,$E11,$D11)*前提!$B$46</f>
        <v>131.4</v>
      </c>
      <c r="M11" s="26" t="n">
        <f aca="false">IF(7&gt;=前提!$B$8,$E11,$D11)*前提!$B$46</f>
        <v>131.4</v>
      </c>
      <c r="N11" s="26" t="n">
        <f aca="false">IF(8&gt;=前提!$B$8,$E11,$D11)*前提!$B$46</f>
        <v>131.4</v>
      </c>
      <c r="O11" s="26" t="n">
        <f aca="false">IF(9&gt;=前提!$B$8,$E11,$D11)*前提!$B$46</f>
        <v>131.4</v>
      </c>
      <c r="P11" s="26" t="n">
        <f aca="false">IF(10&gt;=前提!$B$8,$E11,$D11)*前提!$B$46</f>
        <v>131.4</v>
      </c>
      <c r="Q11" s="26" t="n">
        <f aca="false">IF(11&gt;=前提!$B$8,$E11,$D11)*前提!$B$46</f>
        <v>131.4</v>
      </c>
      <c r="R11" s="26" t="n">
        <f aca="false">IF(12&gt;=前提!$B$8,$E11,$D11)*前提!$B$46</f>
        <v>131.4</v>
      </c>
      <c r="S11" s="26" t="n">
        <f aca="false">IF(13&gt;=前提!$B$8,$E11,$D11)*前提!$B$46</f>
        <v>525.6</v>
      </c>
      <c r="T11" s="26" t="n">
        <f aca="false">IF(14&gt;=前提!$B$8,$E11,$D11)*前提!$B$46</f>
        <v>525.6</v>
      </c>
      <c r="U11" s="26" t="n">
        <f aca="false">IF(15&gt;=前提!$B$8,$E11,$D11)*前提!$B$46</f>
        <v>525.6</v>
      </c>
      <c r="V11" s="26" t="n">
        <f aca="false">IF(16&gt;=前提!$B$8,$E11,$D11)*前提!$B$46</f>
        <v>525.6</v>
      </c>
      <c r="W11" s="26" t="n">
        <f aca="false">IF(17&gt;=前提!$B$8,$E11,$D11)*前提!$B$46</f>
        <v>525.6</v>
      </c>
      <c r="X11" s="26" t="n">
        <f aca="false">IF(18&gt;=前提!$B$8,$E11,$D11)*前提!$B$46</f>
        <v>525.6</v>
      </c>
      <c r="Y11" s="26" t="n">
        <f aca="false">IF(19&gt;=前提!$B$8,$E11,$D11)*前提!$B$46</f>
        <v>525.6</v>
      </c>
      <c r="Z11" s="26" t="n">
        <f aca="false">IF(20&gt;=前提!$B$8,$E11,$D11)*前提!$B$46</f>
        <v>525.6</v>
      </c>
      <c r="AA11" s="26" t="n">
        <f aca="false">IF(21&gt;=前提!$B$8,$E11,$D11)*前提!$B$46</f>
        <v>525.6</v>
      </c>
      <c r="AB11" s="26" t="n">
        <f aca="false">IF(22&gt;=前提!$B$8,$E11,$D11)*前提!$B$46</f>
        <v>525.6</v>
      </c>
      <c r="AC11" s="26" t="n">
        <f aca="false">IF(23&gt;=前提!$B$8,$E11,$D11)*前提!$B$46</f>
        <v>525.6</v>
      </c>
      <c r="AD11" s="26" t="n">
        <f aca="false">IF(24&gt;=前提!$B$8,$E11,$D11)*前提!$B$46</f>
        <v>525.6</v>
      </c>
      <c r="AE11" s="26" t="n">
        <f aca="false">IF(25&gt;=前提!$B$8,$E11,$D11)*前提!$B$46</f>
        <v>525.6</v>
      </c>
      <c r="AF11" s="26" t="n">
        <f aca="false">IF(26&gt;=前提!$B$8,$E11,$D11)*前提!$B$46</f>
        <v>525.6</v>
      </c>
      <c r="AG11" s="26" t="n">
        <f aca="false">IF(27&gt;=前提!$B$8,$E11,$D11)*前提!$B$46</f>
        <v>525.6</v>
      </c>
      <c r="AH11" s="26" t="n">
        <f aca="false">IF(28&gt;=前提!$B$8,$E11,$D11)*前提!$B$46</f>
        <v>525.6</v>
      </c>
      <c r="AI11" s="26" t="n">
        <f aca="false">IF(29&gt;=前提!$B$8,$E11,$D11)*前提!$B$46</f>
        <v>525.6</v>
      </c>
      <c r="AJ11" s="26" t="n">
        <f aca="false">IF(30&gt;=前提!$B$8,$E11,$D11)*前提!$B$46</f>
        <v>525.6</v>
      </c>
      <c r="AK11" s="26" t="n">
        <f aca="false">IF(31&gt;=前提!$B$8,$E11,$D11)*前提!$B$46</f>
        <v>525.6</v>
      </c>
      <c r="AL11" s="26" t="n">
        <f aca="false">IF(32&gt;=前提!$B$8,$E11,$D11)*前提!$B$46</f>
        <v>525.6</v>
      </c>
      <c r="AM11" s="26" t="n">
        <f aca="false">IF(33&gt;=前提!$B$8,$E11,$D11)*前提!$B$46</f>
        <v>525.6</v>
      </c>
      <c r="AN11" s="26" t="n">
        <f aca="false">IF(34&gt;=前提!$B$8,$E11,$D11)*前提!$B$46</f>
        <v>525.6</v>
      </c>
      <c r="AO11" s="26" t="n">
        <f aca="false">IF(35&gt;=前提!$B$8,$E11,$D11)*前提!$B$46</f>
        <v>525.6</v>
      </c>
      <c r="AP11" s="26" t="n">
        <f aca="false">IF(36&gt;=前提!$B$8,$E11,$D11)*前提!$B$46</f>
        <v>525.6</v>
      </c>
      <c r="AQ11" s="27" t="n">
        <f aca="false">SUM(G11:R11)</f>
        <v>1576.8</v>
      </c>
      <c r="AR11" s="27" t="n">
        <f aca="false">SUM(S11:AD11)</f>
        <v>6307.2</v>
      </c>
      <c r="AS11" s="27" t="n">
        <f aca="false">SUM(AE11:AP11)</f>
        <v>6307.2</v>
      </c>
      <c r="AT11" s="27" t="n">
        <f aca="false">SUM(G11:AP11)</f>
        <v>14191.2</v>
      </c>
    </row>
    <row r="12" customFormat="false" ht="15" hidden="false" customHeight="false" outlineLevel="0" collapsed="false">
      <c r="A12" s="5" t="s">
        <v>228</v>
      </c>
      <c r="B12" s="15" t="s">
        <v>229</v>
      </c>
      <c r="C12" s="2" t="s">
        <v>220</v>
      </c>
      <c r="D12" s="14" t="n">
        <v>5</v>
      </c>
      <c r="E12" s="14" t="n">
        <v>40</v>
      </c>
      <c r="F12" s="15" t="s">
        <v>221</v>
      </c>
      <c r="G12" s="26" t="n">
        <f aca="false">IF(1&gt;=前提!$B$8,$E12,$D12)</f>
        <v>5</v>
      </c>
      <c r="H12" s="26" t="n">
        <f aca="false">IF(2&gt;=前提!$B$8,$E12,$D12)</f>
        <v>5</v>
      </c>
      <c r="I12" s="26" t="n">
        <f aca="false">IF(3&gt;=前提!$B$8,$E12,$D12)</f>
        <v>5</v>
      </c>
      <c r="J12" s="26" t="n">
        <f aca="false">IF(4&gt;=前提!$B$8,$E12,$D12)</f>
        <v>5</v>
      </c>
      <c r="K12" s="26" t="n">
        <f aca="false">IF(5&gt;=前提!$B$8,$E12,$D12)</f>
        <v>5</v>
      </c>
      <c r="L12" s="26" t="n">
        <f aca="false">IF(6&gt;=前提!$B$8,$E12,$D12)</f>
        <v>5</v>
      </c>
      <c r="M12" s="26" t="n">
        <f aca="false">IF(7&gt;=前提!$B$8,$E12,$D12)</f>
        <v>5</v>
      </c>
      <c r="N12" s="26" t="n">
        <f aca="false">IF(8&gt;=前提!$B$8,$E12,$D12)</f>
        <v>5</v>
      </c>
      <c r="O12" s="26" t="n">
        <f aca="false">IF(9&gt;=前提!$B$8,$E12,$D12)</f>
        <v>5</v>
      </c>
      <c r="P12" s="26" t="n">
        <f aca="false">IF(10&gt;=前提!$B$8,$E12,$D12)</f>
        <v>5</v>
      </c>
      <c r="Q12" s="26" t="n">
        <f aca="false">IF(11&gt;=前提!$B$8,$E12,$D12)</f>
        <v>5</v>
      </c>
      <c r="R12" s="26" t="n">
        <f aca="false">IF(12&gt;=前提!$B$8,$E12,$D12)</f>
        <v>5</v>
      </c>
      <c r="S12" s="26" t="n">
        <f aca="false">IF(13&gt;=前提!$B$8,$E12,$D12)</f>
        <v>40</v>
      </c>
      <c r="T12" s="26" t="n">
        <f aca="false">IF(14&gt;=前提!$B$8,$E12,$D12)</f>
        <v>40</v>
      </c>
      <c r="U12" s="26" t="n">
        <f aca="false">IF(15&gt;=前提!$B$8,$E12,$D12)</f>
        <v>40</v>
      </c>
      <c r="V12" s="26" t="n">
        <f aca="false">IF(16&gt;=前提!$B$8,$E12,$D12)</f>
        <v>40</v>
      </c>
      <c r="W12" s="26" t="n">
        <f aca="false">IF(17&gt;=前提!$B$8,$E12,$D12)</f>
        <v>40</v>
      </c>
      <c r="X12" s="26" t="n">
        <f aca="false">IF(18&gt;=前提!$B$8,$E12,$D12)</f>
        <v>40</v>
      </c>
      <c r="Y12" s="26" t="n">
        <f aca="false">IF(19&gt;=前提!$B$8,$E12,$D12)</f>
        <v>40</v>
      </c>
      <c r="Z12" s="26" t="n">
        <f aca="false">IF(20&gt;=前提!$B$8,$E12,$D12)</f>
        <v>40</v>
      </c>
      <c r="AA12" s="26" t="n">
        <f aca="false">IF(21&gt;=前提!$B$8,$E12,$D12)</f>
        <v>40</v>
      </c>
      <c r="AB12" s="26" t="n">
        <f aca="false">IF(22&gt;=前提!$B$8,$E12,$D12)</f>
        <v>40</v>
      </c>
      <c r="AC12" s="26" t="n">
        <f aca="false">IF(23&gt;=前提!$B$8,$E12,$D12)</f>
        <v>40</v>
      </c>
      <c r="AD12" s="26" t="n">
        <f aca="false">IF(24&gt;=前提!$B$8,$E12,$D12)</f>
        <v>40</v>
      </c>
      <c r="AE12" s="26" t="n">
        <f aca="false">IF(25&gt;=前提!$B$8,$E12,$D12)</f>
        <v>40</v>
      </c>
      <c r="AF12" s="26" t="n">
        <f aca="false">IF(26&gt;=前提!$B$8,$E12,$D12)</f>
        <v>40</v>
      </c>
      <c r="AG12" s="26" t="n">
        <f aca="false">IF(27&gt;=前提!$B$8,$E12,$D12)</f>
        <v>40</v>
      </c>
      <c r="AH12" s="26" t="n">
        <f aca="false">IF(28&gt;=前提!$B$8,$E12,$D12)</f>
        <v>40</v>
      </c>
      <c r="AI12" s="26" t="n">
        <f aca="false">IF(29&gt;=前提!$B$8,$E12,$D12)</f>
        <v>40</v>
      </c>
      <c r="AJ12" s="26" t="n">
        <f aca="false">IF(30&gt;=前提!$B$8,$E12,$D12)</f>
        <v>40</v>
      </c>
      <c r="AK12" s="26" t="n">
        <f aca="false">IF(31&gt;=前提!$B$8,$E12,$D12)</f>
        <v>40</v>
      </c>
      <c r="AL12" s="26" t="n">
        <f aca="false">IF(32&gt;=前提!$B$8,$E12,$D12)</f>
        <v>40</v>
      </c>
      <c r="AM12" s="26" t="n">
        <f aca="false">IF(33&gt;=前提!$B$8,$E12,$D12)</f>
        <v>40</v>
      </c>
      <c r="AN12" s="26" t="n">
        <f aca="false">IF(34&gt;=前提!$B$8,$E12,$D12)</f>
        <v>40</v>
      </c>
      <c r="AO12" s="26" t="n">
        <f aca="false">IF(35&gt;=前提!$B$8,$E12,$D12)</f>
        <v>40</v>
      </c>
      <c r="AP12" s="26" t="n">
        <f aca="false">IF(36&gt;=前提!$B$8,$E12,$D12)</f>
        <v>40</v>
      </c>
      <c r="AQ12" s="27" t="n">
        <f aca="false">SUM(G12:R12)</f>
        <v>60</v>
      </c>
      <c r="AR12" s="27" t="n">
        <f aca="false">SUM(S12:AD12)</f>
        <v>480</v>
      </c>
      <c r="AS12" s="27" t="n">
        <f aca="false">SUM(AE12:AP12)</f>
        <v>480</v>
      </c>
      <c r="AT12" s="27" t="n">
        <f aca="false">SUM(G12:AP12)</f>
        <v>1020</v>
      </c>
    </row>
    <row r="13" customFormat="false" ht="15" hidden="false" customHeight="false" outlineLevel="0" collapsed="false">
      <c r="A13" s="5" t="s">
        <v>230</v>
      </c>
      <c r="B13" s="15" t="s">
        <v>231</v>
      </c>
      <c r="C13" s="2" t="s">
        <v>232</v>
      </c>
      <c r="D13" s="14" t="n">
        <v>12</v>
      </c>
      <c r="E13" s="14" t="n">
        <v>60</v>
      </c>
      <c r="F13" s="15" t="s">
        <v>221</v>
      </c>
      <c r="G13" s="26" t="n">
        <f aca="false">IF(1&gt;=前提!$B$8,$E13,$D13)</f>
        <v>12</v>
      </c>
      <c r="H13" s="26" t="n">
        <f aca="false">IF(2&gt;=前提!$B$8,$E13,$D13)</f>
        <v>12</v>
      </c>
      <c r="I13" s="26" t="n">
        <f aca="false">IF(3&gt;=前提!$B$8,$E13,$D13)</f>
        <v>12</v>
      </c>
      <c r="J13" s="26" t="n">
        <f aca="false">IF(4&gt;=前提!$B$8,$E13,$D13)</f>
        <v>12</v>
      </c>
      <c r="K13" s="26" t="n">
        <f aca="false">IF(5&gt;=前提!$B$8,$E13,$D13)</f>
        <v>12</v>
      </c>
      <c r="L13" s="26" t="n">
        <f aca="false">IF(6&gt;=前提!$B$8,$E13,$D13)</f>
        <v>12</v>
      </c>
      <c r="M13" s="26" t="n">
        <f aca="false">IF(7&gt;=前提!$B$8,$E13,$D13)</f>
        <v>12</v>
      </c>
      <c r="N13" s="26" t="n">
        <f aca="false">IF(8&gt;=前提!$B$8,$E13,$D13)</f>
        <v>12</v>
      </c>
      <c r="O13" s="26" t="n">
        <f aca="false">IF(9&gt;=前提!$B$8,$E13,$D13)</f>
        <v>12</v>
      </c>
      <c r="P13" s="26" t="n">
        <f aca="false">IF(10&gt;=前提!$B$8,$E13,$D13)</f>
        <v>12</v>
      </c>
      <c r="Q13" s="26" t="n">
        <f aca="false">IF(11&gt;=前提!$B$8,$E13,$D13)</f>
        <v>12</v>
      </c>
      <c r="R13" s="26" t="n">
        <f aca="false">IF(12&gt;=前提!$B$8,$E13,$D13)</f>
        <v>12</v>
      </c>
      <c r="S13" s="26" t="n">
        <f aca="false">IF(13&gt;=前提!$B$8,$E13,$D13)</f>
        <v>60</v>
      </c>
      <c r="T13" s="26" t="n">
        <f aca="false">IF(14&gt;=前提!$B$8,$E13,$D13)</f>
        <v>60</v>
      </c>
      <c r="U13" s="26" t="n">
        <f aca="false">IF(15&gt;=前提!$B$8,$E13,$D13)</f>
        <v>60</v>
      </c>
      <c r="V13" s="26" t="n">
        <f aca="false">IF(16&gt;=前提!$B$8,$E13,$D13)</f>
        <v>60</v>
      </c>
      <c r="W13" s="26" t="n">
        <f aca="false">IF(17&gt;=前提!$B$8,$E13,$D13)</f>
        <v>60</v>
      </c>
      <c r="X13" s="26" t="n">
        <f aca="false">IF(18&gt;=前提!$B$8,$E13,$D13)</f>
        <v>60</v>
      </c>
      <c r="Y13" s="26" t="n">
        <f aca="false">IF(19&gt;=前提!$B$8,$E13,$D13)</f>
        <v>60</v>
      </c>
      <c r="Z13" s="26" t="n">
        <f aca="false">IF(20&gt;=前提!$B$8,$E13,$D13)</f>
        <v>60</v>
      </c>
      <c r="AA13" s="26" t="n">
        <f aca="false">IF(21&gt;=前提!$B$8,$E13,$D13)</f>
        <v>60</v>
      </c>
      <c r="AB13" s="26" t="n">
        <f aca="false">IF(22&gt;=前提!$B$8,$E13,$D13)</f>
        <v>60</v>
      </c>
      <c r="AC13" s="26" t="n">
        <f aca="false">IF(23&gt;=前提!$B$8,$E13,$D13)</f>
        <v>60</v>
      </c>
      <c r="AD13" s="26" t="n">
        <f aca="false">IF(24&gt;=前提!$B$8,$E13,$D13)</f>
        <v>60</v>
      </c>
      <c r="AE13" s="26" t="n">
        <f aca="false">IF(25&gt;=前提!$B$8,$E13,$D13)</f>
        <v>60</v>
      </c>
      <c r="AF13" s="26" t="n">
        <f aca="false">IF(26&gt;=前提!$B$8,$E13,$D13)</f>
        <v>60</v>
      </c>
      <c r="AG13" s="26" t="n">
        <f aca="false">IF(27&gt;=前提!$B$8,$E13,$D13)</f>
        <v>60</v>
      </c>
      <c r="AH13" s="26" t="n">
        <f aca="false">IF(28&gt;=前提!$B$8,$E13,$D13)</f>
        <v>60</v>
      </c>
      <c r="AI13" s="26" t="n">
        <f aca="false">IF(29&gt;=前提!$B$8,$E13,$D13)</f>
        <v>60</v>
      </c>
      <c r="AJ13" s="26" t="n">
        <f aca="false">IF(30&gt;=前提!$B$8,$E13,$D13)</f>
        <v>60</v>
      </c>
      <c r="AK13" s="26" t="n">
        <f aca="false">IF(31&gt;=前提!$B$8,$E13,$D13)</f>
        <v>60</v>
      </c>
      <c r="AL13" s="26" t="n">
        <f aca="false">IF(32&gt;=前提!$B$8,$E13,$D13)</f>
        <v>60</v>
      </c>
      <c r="AM13" s="26" t="n">
        <f aca="false">IF(33&gt;=前提!$B$8,$E13,$D13)</f>
        <v>60</v>
      </c>
      <c r="AN13" s="26" t="n">
        <f aca="false">IF(34&gt;=前提!$B$8,$E13,$D13)</f>
        <v>60</v>
      </c>
      <c r="AO13" s="26" t="n">
        <f aca="false">IF(35&gt;=前提!$B$8,$E13,$D13)</f>
        <v>60</v>
      </c>
      <c r="AP13" s="26" t="n">
        <f aca="false">IF(36&gt;=前提!$B$8,$E13,$D13)</f>
        <v>60</v>
      </c>
      <c r="AQ13" s="27" t="n">
        <f aca="false">SUM(G13:R13)</f>
        <v>144</v>
      </c>
      <c r="AR13" s="27" t="n">
        <f aca="false">SUM(S13:AD13)</f>
        <v>720</v>
      </c>
      <c r="AS13" s="27" t="n">
        <f aca="false">SUM(AE13:AP13)</f>
        <v>720</v>
      </c>
      <c r="AT13" s="27" t="n">
        <f aca="false">SUM(G13:AP13)</f>
        <v>1584</v>
      </c>
    </row>
    <row r="14" customFormat="false" ht="15" hidden="false" customHeight="false" outlineLevel="0" collapsed="false">
      <c r="A14" s="5" t="s">
        <v>230</v>
      </c>
      <c r="B14" s="15" t="s">
        <v>233</v>
      </c>
      <c r="C14" s="2" t="s">
        <v>234</v>
      </c>
      <c r="D14" s="14" t="n">
        <v>0</v>
      </c>
      <c r="E14" s="14" t="n">
        <v>30</v>
      </c>
      <c r="F14" s="15" t="s">
        <v>221</v>
      </c>
      <c r="G14" s="26" t="n">
        <f aca="false">IF(1&gt;=前提!$B$8,$E14,$D14)</f>
        <v>0</v>
      </c>
      <c r="H14" s="26" t="n">
        <f aca="false">IF(2&gt;=前提!$B$8,$E14,$D14)</f>
        <v>0</v>
      </c>
      <c r="I14" s="26" t="n">
        <f aca="false">IF(3&gt;=前提!$B$8,$E14,$D14)</f>
        <v>0</v>
      </c>
      <c r="J14" s="26" t="n">
        <f aca="false">IF(4&gt;=前提!$B$8,$E14,$D14)</f>
        <v>0</v>
      </c>
      <c r="K14" s="26" t="n">
        <f aca="false">IF(5&gt;=前提!$B$8,$E14,$D14)</f>
        <v>0</v>
      </c>
      <c r="L14" s="26" t="n">
        <f aca="false">IF(6&gt;=前提!$B$8,$E14,$D14)</f>
        <v>0</v>
      </c>
      <c r="M14" s="26" t="n">
        <f aca="false">IF(7&gt;=前提!$B$8,$E14,$D14)</f>
        <v>0</v>
      </c>
      <c r="N14" s="26" t="n">
        <f aca="false">IF(8&gt;=前提!$B$8,$E14,$D14)</f>
        <v>0</v>
      </c>
      <c r="O14" s="26" t="n">
        <f aca="false">IF(9&gt;=前提!$B$8,$E14,$D14)</f>
        <v>0</v>
      </c>
      <c r="P14" s="26" t="n">
        <f aca="false">IF(10&gt;=前提!$B$8,$E14,$D14)</f>
        <v>0</v>
      </c>
      <c r="Q14" s="26" t="n">
        <f aca="false">IF(11&gt;=前提!$B$8,$E14,$D14)</f>
        <v>0</v>
      </c>
      <c r="R14" s="26" t="n">
        <f aca="false">IF(12&gt;=前提!$B$8,$E14,$D14)</f>
        <v>0</v>
      </c>
      <c r="S14" s="26" t="n">
        <f aca="false">IF(13&gt;=前提!$B$8,$E14,$D14)</f>
        <v>30</v>
      </c>
      <c r="T14" s="26" t="n">
        <f aca="false">IF(14&gt;=前提!$B$8,$E14,$D14)</f>
        <v>30</v>
      </c>
      <c r="U14" s="26" t="n">
        <f aca="false">IF(15&gt;=前提!$B$8,$E14,$D14)</f>
        <v>30</v>
      </c>
      <c r="V14" s="26" t="n">
        <f aca="false">IF(16&gt;=前提!$B$8,$E14,$D14)</f>
        <v>30</v>
      </c>
      <c r="W14" s="26" t="n">
        <f aca="false">IF(17&gt;=前提!$B$8,$E14,$D14)</f>
        <v>30</v>
      </c>
      <c r="X14" s="26" t="n">
        <f aca="false">IF(18&gt;=前提!$B$8,$E14,$D14)</f>
        <v>30</v>
      </c>
      <c r="Y14" s="26" t="n">
        <f aca="false">IF(19&gt;=前提!$B$8,$E14,$D14)</f>
        <v>30</v>
      </c>
      <c r="Z14" s="26" t="n">
        <f aca="false">IF(20&gt;=前提!$B$8,$E14,$D14)</f>
        <v>30</v>
      </c>
      <c r="AA14" s="26" t="n">
        <f aca="false">IF(21&gt;=前提!$B$8,$E14,$D14)</f>
        <v>30</v>
      </c>
      <c r="AB14" s="26" t="n">
        <f aca="false">IF(22&gt;=前提!$B$8,$E14,$D14)</f>
        <v>30</v>
      </c>
      <c r="AC14" s="26" t="n">
        <f aca="false">IF(23&gt;=前提!$B$8,$E14,$D14)</f>
        <v>30</v>
      </c>
      <c r="AD14" s="26" t="n">
        <f aca="false">IF(24&gt;=前提!$B$8,$E14,$D14)</f>
        <v>30</v>
      </c>
      <c r="AE14" s="26" t="n">
        <f aca="false">IF(25&gt;=前提!$B$8,$E14,$D14)</f>
        <v>30</v>
      </c>
      <c r="AF14" s="26" t="n">
        <f aca="false">IF(26&gt;=前提!$B$8,$E14,$D14)</f>
        <v>30</v>
      </c>
      <c r="AG14" s="26" t="n">
        <f aca="false">IF(27&gt;=前提!$B$8,$E14,$D14)</f>
        <v>30</v>
      </c>
      <c r="AH14" s="26" t="n">
        <f aca="false">IF(28&gt;=前提!$B$8,$E14,$D14)</f>
        <v>30</v>
      </c>
      <c r="AI14" s="26" t="n">
        <f aca="false">IF(29&gt;=前提!$B$8,$E14,$D14)</f>
        <v>30</v>
      </c>
      <c r="AJ14" s="26" t="n">
        <f aca="false">IF(30&gt;=前提!$B$8,$E14,$D14)</f>
        <v>30</v>
      </c>
      <c r="AK14" s="26" t="n">
        <f aca="false">IF(31&gt;=前提!$B$8,$E14,$D14)</f>
        <v>30</v>
      </c>
      <c r="AL14" s="26" t="n">
        <f aca="false">IF(32&gt;=前提!$B$8,$E14,$D14)</f>
        <v>30</v>
      </c>
      <c r="AM14" s="26" t="n">
        <f aca="false">IF(33&gt;=前提!$B$8,$E14,$D14)</f>
        <v>30</v>
      </c>
      <c r="AN14" s="26" t="n">
        <f aca="false">IF(34&gt;=前提!$B$8,$E14,$D14)</f>
        <v>30</v>
      </c>
      <c r="AO14" s="26" t="n">
        <f aca="false">IF(35&gt;=前提!$B$8,$E14,$D14)</f>
        <v>30</v>
      </c>
      <c r="AP14" s="26" t="n">
        <f aca="false">IF(36&gt;=前提!$B$8,$E14,$D14)</f>
        <v>30</v>
      </c>
      <c r="AQ14" s="27" t="n">
        <f aca="false">SUM(G14:R14)</f>
        <v>0</v>
      </c>
      <c r="AR14" s="27" t="n">
        <f aca="false">SUM(S14:AD14)</f>
        <v>360</v>
      </c>
      <c r="AS14" s="27" t="n">
        <f aca="false">SUM(AE14:AP14)</f>
        <v>360</v>
      </c>
      <c r="AT14" s="27" t="n">
        <f aca="false">SUM(G14:AP14)</f>
        <v>720</v>
      </c>
    </row>
    <row r="15" customFormat="false" ht="15" hidden="false" customHeight="false" outlineLevel="0" collapsed="false">
      <c r="A15" s="5" t="s">
        <v>230</v>
      </c>
      <c r="B15" s="15" t="s">
        <v>235</v>
      </c>
      <c r="C15" s="2" t="s">
        <v>220</v>
      </c>
      <c r="D15" s="14" t="n">
        <v>5</v>
      </c>
      <c r="E15" s="14" t="n">
        <v>10</v>
      </c>
      <c r="F15" s="15" t="s">
        <v>221</v>
      </c>
      <c r="G15" s="26" t="n">
        <f aca="false">IF(1&gt;=前提!$B$8,$E15,$D15)</f>
        <v>5</v>
      </c>
      <c r="H15" s="26" t="n">
        <f aca="false">IF(2&gt;=前提!$B$8,$E15,$D15)</f>
        <v>5</v>
      </c>
      <c r="I15" s="26" t="n">
        <f aca="false">IF(3&gt;=前提!$B$8,$E15,$D15)</f>
        <v>5</v>
      </c>
      <c r="J15" s="26" t="n">
        <f aca="false">IF(4&gt;=前提!$B$8,$E15,$D15)</f>
        <v>5</v>
      </c>
      <c r="K15" s="26" t="n">
        <f aca="false">IF(5&gt;=前提!$B$8,$E15,$D15)</f>
        <v>5</v>
      </c>
      <c r="L15" s="26" t="n">
        <f aca="false">IF(6&gt;=前提!$B$8,$E15,$D15)</f>
        <v>5</v>
      </c>
      <c r="M15" s="26" t="n">
        <f aca="false">IF(7&gt;=前提!$B$8,$E15,$D15)</f>
        <v>5</v>
      </c>
      <c r="N15" s="26" t="n">
        <f aca="false">IF(8&gt;=前提!$B$8,$E15,$D15)</f>
        <v>5</v>
      </c>
      <c r="O15" s="26" t="n">
        <f aca="false">IF(9&gt;=前提!$B$8,$E15,$D15)</f>
        <v>5</v>
      </c>
      <c r="P15" s="26" t="n">
        <f aca="false">IF(10&gt;=前提!$B$8,$E15,$D15)</f>
        <v>5</v>
      </c>
      <c r="Q15" s="26" t="n">
        <f aca="false">IF(11&gt;=前提!$B$8,$E15,$D15)</f>
        <v>5</v>
      </c>
      <c r="R15" s="26" t="n">
        <f aca="false">IF(12&gt;=前提!$B$8,$E15,$D15)</f>
        <v>5</v>
      </c>
      <c r="S15" s="26" t="n">
        <f aca="false">IF(13&gt;=前提!$B$8,$E15,$D15)</f>
        <v>10</v>
      </c>
      <c r="T15" s="26" t="n">
        <f aca="false">IF(14&gt;=前提!$B$8,$E15,$D15)</f>
        <v>10</v>
      </c>
      <c r="U15" s="26" t="n">
        <f aca="false">IF(15&gt;=前提!$B$8,$E15,$D15)</f>
        <v>10</v>
      </c>
      <c r="V15" s="26" t="n">
        <f aca="false">IF(16&gt;=前提!$B$8,$E15,$D15)</f>
        <v>10</v>
      </c>
      <c r="W15" s="26" t="n">
        <f aca="false">IF(17&gt;=前提!$B$8,$E15,$D15)</f>
        <v>10</v>
      </c>
      <c r="X15" s="26" t="n">
        <f aca="false">IF(18&gt;=前提!$B$8,$E15,$D15)</f>
        <v>10</v>
      </c>
      <c r="Y15" s="26" t="n">
        <f aca="false">IF(19&gt;=前提!$B$8,$E15,$D15)</f>
        <v>10</v>
      </c>
      <c r="Z15" s="26" t="n">
        <f aca="false">IF(20&gt;=前提!$B$8,$E15,$D15)</f>
        <v>10</v>
      </c>
      <c r="AA15" s="26" t="n">
        <f aca="false">IF(21&gt;=前提!$B$8,$E15,$D15)</f>
        <v>10</v>
      </c>
      <c r="AB15" s="26" t="n">
        <f aca="false">IF(22&gt;=前提!$B$8,$E15,$D15)</f>
        <v>10</v>
      </c>
      <c r="AC15" s="26" t="n">
        <f aca="false">IF(23&gt;=前提!$B$8,$E15,$D15)</f>
        <v>10</v>
      </c>
      <c r="AD15" s="26" t="n">
        <f aca="false">IF(24&gt;=前提!$B$8,$E15,$D15)</f>
        <v>10</v>
      </c>
      <c r="AE15" s="26" t="n">
        <f aca="false">IF(25&gt;=前提!$B$8,$E15,$D15)</f>
        <v>10</v>
      </c>
      <c r="AF15" s="26" t="n">
        <f aca="false">IF(26&gt;=前提!$B$8,$E15,$D15)</f>
        <v>10</v>
      </c>
      <c r="AG15" s="26" t="n">
        <f aca="false">IF(27&gt;=前提!$B$8,$E15,$D15)</f>
        <v>10</v>
      </c>
      <c r="AH15" s="26" t="n">
        <f aca="false">IF(28&gt;=前提!$B$8,$E15,$D15)</f>
        <v>10</v>
      </c>
      <c r="AI15" s="26" t="n">
        <f aca="false">IF(29&gt;=前提!$B$8,$E15,$D15)</f>
        <v>10</v>
      </c>
      <c r="AJ15" s="26" t="n">
        <f aca="false">IF(30&gt;=前提!$B$8,$E15,$D15)</f>
        <v>10</v>
      </c>
      <c r="AK15" s="26" t="n">
        <f aca="false">IF(31&gt;=前提!$B$8,$E15,$D15)</f>
        <v>10</v>
      </c>
      <c r="AL15" s="26" t="n">
        <f aca="false">IF(32&gt;=前提!$B$8,$E15,$D15)</f>
        <v>10</v>
      </c>
      <c r="AM15" s="26" t="n">
        <f aca="false">IF(33&gt;=前提!$B$8,$E15,$D15)</f>
        <v>10</v>
      </c>
      <c r="AN15" s="26" t="n">
        <f aca="false">IF(34&gt;=前提!$B$8,$E15,$D15)</f>
        <v>10</v>
      </c>
      <c r="AO15" s="26" t="n">
        <f aca="false">IF(35&gt;=前提!$B$8,$E15,$D15)</f>
        <v>10</v>
      </c>
      <c r="AP15" s="26" t="n">
        <f aca="false">IF(36&gt;=前提!$B$8,$E15,$D15)</f>
        <v>10</v>
      </c>
      <c r="AQ15" s="27" t="n">
        <f aca="false">SUM(G15:R15)</f>
        <v>60</v>
      </c>
      <c r="AR15" s="27" t="n">
        <f aca="false">SUM(S15:AD15)</f>
        <v>120</v>
      </c>
      <c r="AS15" s="27" t="n">
        <f aca="false">SUM(AE15:AP15)</f>
        <v>120</v>
      </c>
      <c r="AT15" s="27" t="n">
        <f aca="false">SUM(G15:AP15)</f>
        <v>300</v>
      </c>
    </row>
    <row r="16" customFormat="false" ht="15" hidden="false" customHeight="false" outlineLevel="0" collapsed="false">
      <c r="A16" s="5" t="s">
        <v>230</v>
      </c>
      <c r="B16" s="5" t="s">
        <v>236</v>
      </c>
      <c r="C16" s="2" t="s">
        <v>220</v>
      </c>
      <c r="D16" s="14" t="n">
        <v>3</v>
      </c>
      <c r="E16" s="14" t="n">
        <v>15</v>
      </c>
      <c r="F16" s="15" t="s">
        <v>221</v>
      </c>
      <c r="G16" s="26" t="n">
        <f aca="false">IF(1&gt;=前提!$B$8,$E16,$D16)</f>
        <v>3</v>
      </c>
      <c r="H16" s="26" t="n">
        <f aca="false">IF(2&gt;=前提!$B$8,$E16,$D16)</f>
        <v>3</v>
      </c>
      <c r="I16" s="26" t="n">
        <f aca="false">IF(3&gt;=前提!$B$8,$E16,$D16)</f>
        <v>3</v>
      </c>
      <c r="J16" s="26" t="n">
        <f aca="false">IF(4&gt;=前提!$B$8,$E16,$D16)</f>
        <v>3</v>
      </c>
      <c r="K16" s="26" t="n">
        <f aca="false">IF(5&gt;=前提!$B$8,$E16,$D16)</f>
        <v>3</v>
      </c>
      <c r="L16" s="26" t="n">
        <f aca="false">IF(6&gt;=前提!$B$8,$E16,$D16)</f>
        <v>3</v>
      </c>
      <c r="M16" s="26" t="n">
        <f aca="false">IF(7&gt;=前提!$B$8,$E16,$D16)</f>
        <v>3</v>
      </c>
      <c r="N16" s="26" t="n">
        <f aca="false">IF(8&gt;=前提!$B$8,$E16,$D16)</f>
        <v>3</v>
      </c>
      <c r="O16" s="26" t="n">
        <f aca="false">IF(9&gt;=前提!$B$8,$E16,$D16)</f>
        <v>3</v>
      </c>
      <c r="P16" s="26" t="n">
        <f aca="false">IF(10&gt;=前提!$B$8,$E16,$D16)</f>
        <v>3</v>
      </c>
      <c r="Q16" s="26" t="n">
        <f aca="false">IF(11&gt;=前提!$B$8,$E16,$D16)</f>
        <v>3</v>
      </c>
      <c r="R16" s="26" t="n">
        <f aca="false">IF(12&gt;=前提!$B$8,$E16,$D16)</f>
        <v>3</v>
      </c>
      <c r="S16" s="26" t="n">
        <f aca="false">IF(13&gt;=前提!$B$8,$E16,$D16)</f>
        <v>15</v>
      </c>
      <c r="T16" s="26" t="n">
        <f aca="false">IF(14&gt;=前提!$B$8,$E16,$D16)</f>
        <v>15</v>
      </c>
      <c r="U16" s="26" t="n">
        <f aca="false">IF(15&gt;=前提!$B$8,$E16,$D16)</f>
        <v>15</v>
      </c>
      <c r="V16" s="26" t="n">
        <f aca="false">IF(16&gt;=前提!$B$8,$E16,$D16)</f>
        <v>15</v>
      </c>
      <c r="W16" s="26" t="n">
        <f aca="false">IF(17&gt;=前提!$B$8,$E16,$D16)</f>
        <v>15</v>
      </c>
      <c r="X16" s="26" t="n">
        <f aca="false">IF(18&gt;=前提!$B$8,$E16,$D16)</f>
        <v>15</v>
      </c>
      <c r="Y16" s="26" t="n">
        <f aca="false">IF(19&gt;=前提!$B$8,$E16,$D16)</f>
        <v>15</v>
      </c>
      <c r="Z16" s="26" t="n">
        <f aca="false">IF(20&gt;=前提!$B$8,$E16,$D16)</f>
        <v>15</v>
      </c>
      <c r="AA16" s="26" t="n">
        <f aca="false">IF(21&gt;=前提!$B$8,$E16,$D16)</f>
        <v>15</v>
      </c>
      <c r="AB16" s="26" t="n">
        <f aca="false">IF(22&gt;=前提!$B$8,$E16,$D16)</f>
        <v>15</v>
      </c>
      <c r="AC16" s="26" t="n">
        <f aca="false">IF(23&gt;=前提!$B$8,$E16,$D16)</f>
        <v>15</v>
      </c>
      <c r="AD16" s="26" t="n">
        <f aca="false">IF(24&gt;=前提!$B$8,$E16,$D16)</f>
        <v>15</v>
      </c>
      <c r="AE16" s="26" t="n">
        <f aca="false">IF(25&gt;=前提!$B$8,$E16,$D16)</f>
        <v>15</v>
      </c>
      <c r="AF16" s="26" t="n">
        <f aca="false">IF(26&gt;=前提!$B$8,$E16,$D16)</f>
        <v>15</v>
      </c>
      <c r="AG16" s="26" t="n">
        <f aca="false">IF(27&gt;=前提!$B$8,$E16,$D16)</f>
        <v>15</v>
      </c>
      <c r="AH16" s="26" t="n">
        <f aca="false">IF(28&gt;=前提!$B$8,$E16,$D16)</f>
        <v>15</v>
      </c>
      <c r="AI16" s="26" t="n">
        <f aca="false">IF(29&gt;=前提!$B$8,$E16,$D16)</f>
        <v>15</v>
      </c>
      <c r="AJ16" s="26" t="n">
        <f aca="false">IF(30&gt;=前提!$B$8,$E16,$D16)</f>
        <v>15</v>
      </c>
      <c r="AK16" s="26" t="n">
        <f aca="false">IF(31&gt;=前提!$B$8,$E16,$D16)</f>
        <v>15</v>
      </c>
      <c r="AL16" s="26" t="n">
        <f aca="false">IF(32&gt;=前提!$B$8,$E16,$D16)</f>
        <v>15</v>
      </c>
      <c r="AM16" s="26" t="n">
        <f aca="false">IF(33&gt;=前提!$B$8,$E16,$D16)</f>
        <v>15</v>
      </c>
      <c r="AN16" s="26" t="n">
        <f aca="false">IF(34&gt;=前提!$B$8,$E16,$D16)</f>
        <v>15</v>
      </c>
      <c r="AO16" s="26" t="n">
        <f aca="false">IF(35&gt;=前提!$B$8,$E16,$D16)</f>
        <v>15</v>
      </c>
      <c r="AP16" s="26" t="n">
        <f aca="false">IF(36&gt;=前提!$B$8,$E16,$D16)</f>
        <v>15</v>
      </c>
      <c r="AQ16" s="27" t="n">
        <f aca="false">SUM(G16:R16)</f>
        <v>36</v>
      </c>
      <c r="AR16" s="27" t="n">
        <f aca="false">SUM(S16:AD16)</f>
        <v>180</v>
      </c>
      <c r="AS16" s="27" t="n">
        <f aca="false">SUM(AE16:AP16)</f>
        <v>180</v>
      </c>
      <c r="AT16" s="27" t="n">
        <f aca="false">SUM(G16:AP16)</f>
        <v>396</v>
      </c>
    </row>
    <row r="17" customFormat="false" ht="15" hidden="false" customHeight="false" outlineLevel="0" collapsed="false">
      <c r="A17" s="15" t="s">
        <v>237</v>
      </c>
      <c r="B17" s="15" t="s">
        <v>238</v>
      </c>
      <c r="C17" s="2" t="s">
        <v>239</v>
      </c>
      <c r="D17" s="14" t="n">
        <v>32</v>
      </c>
      <c r="E17" s="14" t="n">
        <v>300</v>
      </c>
      <c r="F17" s="15" t="s">
        <v>221</v>
      </c>
      <c r="G17" s="26" t="n">
        <f aca="false">IF(1&gt;=前提!$B$8,$E17,$D17)</f>
        <v>32</v>
      </c>
      <c r="H17" s="26" t="n">
        <f aca="false">IF(2&gt;=前提!$B$8,$E17,$D17)</f>
        <v>32</v>
      </c>
      <c r="I17" s="26" t="n">
        <f aca="false">IF(3&gt;=前提!$B$8,$E17,$D17)</f>
        <v>32</v>
      </c>
      <c r="J17" s="26" t="n">
        <f aca="false">IF(4&gt;=前提!$B$8,$E17,$D17)</f>
        <v>32</v>
      </c>
      <c r="K17" s="26" t="n">
        <f aca="false">IF(5&gt;=前提!$B$8,$E17,$D17)</f>
        <v>32</v>
      </c>
      <c r="L17" s="26" t="n">
        <f aca="false">IF(6&gt;=前提!$B$8,$E17,$D17)</f>
        <v>32</v>
      </c>
      <c r="M17" s="26" t="n">
        <f aca="false">IF(7&gt;=前提!$B$8,$E17,$D17)</f>
        <v>32</v>
      </c>
      <c r="N17" s="26" t="n">
        <f aca="false">IF(8&gt;=前提!$B$8,$E17,$D17)</f>
        <v>32</v>
      </c>
      <c r="O17" s="26" t="n">
        <f aca="false">IF(9&gt;=前提!$B$8,$E17,$D17)</f>
        <v>32</v>
      </c>
      <c r="P17" s="26" t="n">
        <f aca="false">IF(10&gt;=前提!$B$8,$E17,$D17)</f>
        <v>32</v>
      </c>
      <c r="Q17" s="26" t="n">
        <f aca="false">IF(11&gt;=前提!$B$8,$E17,$D17)</f>
        <v>32</v>
      </c>
      <c r="R17" s="26" t="n">
        <f aca="false">IF(12&gt;=前提!$B$8,$E17,$D17)</f>
        <v>32</v>
      </c>
      <c r="S17" s="26" t="n">
        <f aca="false">IF(13&gt;=前提!$B$8,$E17,$D17)</f>
        <v>300</v>
      </c>
      <c r="T17" s="26" t="n">
        <f aca="false">IF(14&gt;=前提!$B$8,$E17,$D17)</f>
        <v>300</v>
      </c>
      <c r="U17" s="26" t="n">
        <f aca="false">IF(15&gt;=前提!$B$8,$E17,$D17)</f>
        <v>300</v>
      </c>
      <c r="V17" s="26" t="n">
        <f aca="false">IF(16&gt;=前提!$B$8,$E17,$D17)</f>
        <v>300</v>
      </c>
      <c r="W17" s="26" t="n">
        <f aca="false">IF(17&gt;=前提!$B$8,$E17,$D17)</f>
        <v>300</v>
      </c>
      <c r="X17" s="26" t="n">
        <f aca="false">IF(18&gt;=前提!$B$8,$E17,$D17)</f>
        <v>300</v>
      </c>
      <c r="Y17" s="26" t="n">
        <f aca="false">IF(19&gt;=前提!$B$8,$E17,$D17)</f>
        <v>300</v>
      </c>
      <c r="Z17" s="26" t="n">
        <f aca="false">IF(20&gt;=前提!$B$8,$E17,$D17)</f>
        <v>300</v>
      </c>
      <c r="AA17" s="26" t="n">
        <f aca="false">IF(21&gt;=前提!$B$8,$E17,$D17)</f>
        <v>300</v>
      </c>
      <c r="AB17" s="26" t="n">
        <f aca="false">IF(22&gt;=前提!$B$8,$E17,$D17)</f>
        <v>300</v>
      </c>
      <c r="AC17" s="26" t="n">
        <f aca="false">IF(23&gt;=前提!$B$8,$E17,$D17)</f>
        <v>300</v>
      </c>
      <c r="AD17" s="26" t="n">
        <f aca="false">IF(24&gt;=前提!$B$8,$E17,$D17)</f>
        <v>300</v>
      </c>
      <c r="AE17" s="26" t="n">
        <f aca="false">IF(25&gt;=前提!$B$8,$E17,$D17)</f>
        <v>300</v>
      </c>
      <c r="AF17" s="26" t="n">
        <f aca="false">IF(26&gt;=前提!$B$8,$E17,$D17)</f>
        <v>300</v>
      </c>
      <c r="AG17" s="26" t="n">
        <f aca="false">IF(27&gt;=前提!$B$8,$E17,$D17)</f>
        <v>300</v>
      </c>
      <c r="AH17" s="26" t="n">
        <f aca="false">IF(28&gt;=前提!$B$8,$E17,$D17)</f>
        <v>300</v>
      </c>
      <c r="AI17" s="26" t="n">
        <f aca="false">IF(29&gt;=前提!$B$8,$E17,$D17)</f>
        <v>300</v>
      </c>
      <c r="AJ17" s="26" t="n">
        <f aca="false">IF(30&gt;=前提!$B$8,$E17,$D17)</f>
        <v>300</v>
      </c>
      <c r="AK17" s="26" t="n">
        <f aca="false">IF(31&gt;=前提!$B$8,$E17,$D17)</f>
        <v>300</v>
      </c>
      <c r="AL17" s="26" t="n">
        <f aca="false">IF(32&gt;=前提!$B$8,$E17,$D17)</f>
        <v>300</v>
      </c>
      <c r="AM17" s="26" t="n">
        <f aca="false">IF(33&gt;=前提!$B$8,$E17,$D17)</f>
        <v>300</v>
      </c>
      <c r="AN17" s="26" t="n">
        <f aca="false">IF(34&gt;=前提!$B$8,$E17,$D17)</f>
        <v>300</v>
      </c>
      <c r="AO17" s="26" t="n">
        <f aca="false">IF(35&gt;=前提!$B$8,$E17,$D17)</f>
        <v>300</v>
      </c>
      <c r="AP17" s="26" t="n">
        <f aca="false">IF(36&gt;=前提!$B$8,$E17,$D17)</f>
        <v>300</v>
      </c>
      <c r="AQ17" s="27" t="n">
        <f aca="false">SUM(G17:R17)</f>
        <v>384</v>
      </c>
      <c r="AR17" s="27" t="n">
        <f aca="false">SUM(S17:AD17)</f>
        <v>3600</v>
      </c>
      <c r="AS17" s="27" t="n">
        <f aca="false">SUM(AE17:AP17)</f>
        <v>3600</v>
      </c>
      <c r="AT17" s="27" t="n">
        <f aca="false">SUM(G17:AP17)</f>
        <v>7584</v>
      </c>
    </row>
    <row r="18" customFormat="false" ht="15" hidden="false" customHeight="false" outlineLevel="0" collapsed="false">
      <c r="B18" s="12" t="s">
        <v>240</v>
      </c>
      <c r="G18" s="27" t="n">
        <f aca="false">SUM(G6:G17)</f>
        <v>353.7953</v>
      </c>
      <c r="H18" s="27" t="n">
        <f aca="false">SUM(H6:H17)</f>
        <v>353.7953</v>
      </c>
      <c r="I18" s="27" t="n">
        <f aca="false">SUM(I6:I17)</f>
        <v>353.7953</v>
      </c>
      <c r="J18" s="27" t="n">
        <f aca="false">SUM(J6:J17)</f>
        <v>353.7953</v>
      </c>
      <c r="K18" s="27" t="n">
        <f aca="false">SUM(K6:K17)</f>
        <v>353.7953</v>
      </c>
      <c r="L18" s="27" t="n">
        <f aca="false">SUM(L6:L17)</f>
        <v>353.7953</v>
      </c>
      <c r="M18" s="27" t="n">
        <f aca="false">SUM(M6:M17)</f>
        <v>353.7953</v>
      </c>
      <c r="N18" s="27" t="n">
        <f aca="false">SUM(N6:N17)</f>
        <v>353.7953</v>
      </c>
      <c r="O18" s="27" t="n">
        <f aca="false">SUM(O6:O17)</f>
        <v>353.7953</v>
      </c>
      <c r="P18" s="27" t="n">
        <f aca="false">SUM(P6:P17)</f>
        <v>353.7953</v>
      </c>
      <c r="Q18" s="27" t="n">
        <f aca="false">SUM(Q6:Q17)</f>
        <v>353.7953</v>
      </c>
      <c r="R18" s="27" t="n">
        <f aca="false">SUM(R6:R17)</f>
        <v>353.7953</v>
      </c>
      <c r="S18" s="27" t="n">
        <f aca="false">SUM(S6:S17)</f>
        <v>1306.9656</v>
      </c>
      <c r="T18" s="27" t="n">
        <f aca="false">SUM(T6:T17)</f>
        <v>1306.9656</v>
      </c>
      <c r="U18" s="27" t="n">
        <f aca="false">SUM(U6:U17)</f>
        <v>1306.9656</v>
      </c>
      <c r="V18" s="27" t="n">
        <f aca="false">SUM(V6:V17)</f>
        <v>1306.9656</v>
      </c>
      <c r="W18" s="27" t="n">
        <f aca="false">SUM(W6:W17)</f>
        <v>1306.9656</v>
      </c>
      <c r="X18" s="27" t="n">
        <f aca="false">SUM(X6:X17)</f>
        <v>1306.9656</v>
      </c>
      <c r="Y18" s="27" t="n">
        <f aca="false">SUM(Y6:Y17)</f>
        <v>1306.9656</v>
      </c>
      <c r="Z18" s="27" t="n">
        <f aca="false">SUM(Z6:Z17)</f>
        <v>1306.9656</v>
      </c>
      <c r="AA18" s="27" t="n">
        <f aca="false">SUM(AA6:AA17)</f>
        <v>1306.9656</v>
      </c>
      <c r="AB18" s="27" t="n">
        <f aca="false">SUM(AB6:AB17)</f>
        <v>1306.9656</v>
      </c>
      <c r="AC18" s="27" t="n">
        <f aca="false">SUM(AC6:AC17)</f>
        <v>1306.9656</v>
      </c>
      <c r="AD18" s="27" t="n">
        <f aca="false">SUM(AD6:AD17)</f>
        <v>1306.9656</v>
      </c>
      <c r="AE18" s="27" t="n">
        <f aca="false">SUM(AE6:AE17)</f>
        <v>1306.9656</v>
      </c>
      <c r="AF18" s="27" t="n">
        <f aca="false">SUM(AF6:AF17)</f>
        <v>1306.9656</v>
      </c>
      <c r="AG18" s="27" t="n">
        <f aca="false">SUM(AG6:AG17)</f>
        <v>1306.9656</v>
      </c>
      <c r="AH18" s="27" t="n">
        <f aca="false">SUM(AH6:AH17)</f>
        <v>1306.9656</v>
      </c>
      <c r="AI18" s="27" t="n">
        <f aca="false">SUM(AI6:AI17)</f>
        <v>1306.9656</v>
      </c>
      <c r="AJ18" s="27" t="n">
        <f aca="false">SUM(AJ6:AJ17)</f>
        <v>1306.9656</v>
      </c>
      <c r="AK18" s="27" t="n">
        <f aca="false">SUM(AK6:AK17)</f>
        <v>1306.9656</v>
      </c>
      <c r="AL18" s="27" t="n">
        <f aca="false">SUM(AL6:AL17)</f>
        <v>1306.9656</v>
      </c>
      <c r="AM18" s="27" t="n">
        <f aca="false">SUM(AM6:AM17)</f>
        <v>1306.9656</v>
      </c>
      <c r="AN18" s="27" t="n">
        <f aca="false">SUM(AN6:AN17)</f>
        <v>1306.9656</v>
      </c>
      <c r="AO18" s="27" t="n">
        <f aca="false">SUM(AO6:AO17)</f>
        <v>1306.9656</v>
      </c>
      <c r="AP18" s="27" t="n">
        <f aca="false">SUM(AP6:AP17)</f>
        <v>1306.9656</v>
      </c>
      <c r="AQ18" s="27" t="n">
        <f aca="false">SUM(AQ6:AQ17)</f>
        <v>4245.5436</v>
      </c>
      <c r="AR18" s="27" t="n">
        <f aca="false">SUM(AR6:AR17)</f>
        <v>15683.5872</v>
      </c>
      <c r="AS18" s="27" t="n">
        <f aca="false">SUM(AS6:AS17)</f>
        <v>15683.5872</v>
      </c>
      <c r="AT18" s="27" t="n">
        <f aca="false">SUM(AT6:AT17)</f>
        <v>35612.718</v>
      </c>
    </row>
    <row r="20" customFormat="false" ht="15" hidden="false" customHeight="false" outlineLevel="0" collapsed="false">
      <c r="A20" s="23" t="s">
        <v>241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</row>
    <row r="21" customFormat="false" ht="15" hidden="false" customHeight="false" outlineLevel="0" collapsed="false">
      <c r="B21" s="5" t="s">
        <v>242</v>
      </c>
      <c r="C21" s="7" t="s">
        <v>243</v>
      </c>
      <c r="G21" s="28" t="n">
        <f aca="false">(G18-G11-G17)*前提!$B$9</f>
        <v>76.15812</v>
      </c>
      <c r="H21" s="28" t="n">
        <f aca="false">(H18-H11-H17)*前提!$B$9</f>
        <v>76.15812</v>
      </c>
      <c r="I21" s="28" t="n">
        <f aca="false">(I18-I11-I17)*前提!$B$9</f>
        <v>76.15812</v>
      </c>
      <c r="J21" s="28" t="n">
        <f aca="false">(J18-J11-J17)*前提!$B$9</f>
        <v>76.15812</v>
      </c>
      <c r="K21" s="28" t="n">
        <f aca="false">(K18-K11-K17)*前提!$B$9</f>
        <v>76.15812</v>
      </c>
      <c r="L21" s="28" t="n">
        <f aca="false">(L18-L11-L17)*前提!$B$9</f>
        <v>76.15812</v>
      </c>
      <c r="M21" s="28" t="n">
        <f aca="false">(M18-M11-M17)*前提!$B$9</f>
        <v>76.15812</v>
      </c>
      <c r="N21" s="28" t="n">
        <f aca="false">(N18-N11-N17)*前提!$B$9</f>
        <v>76.15812</v>
      </c>
      <c r="O21" s="28" t="n">
        <f aca="false">(O18-O11-O17)*前提!$B$9</f>
        <v>76.15812</v>
      </c>
      <c r="P21" s="28" t="n">
        <f aca="false">(P18-P11-P17)*前提!$B$9</f>
        <v>76.15812</v>
      </c>
      <c r="Q21" s="28" t="n">
        <f aca="false">(Q18-Q11-Q17)*前提!$B$9</f>
        <v>76.15812</v>
      </c>
      <c r="R21" s="28" t="n">
        <f aca="false">(R18-R11-R17)*前提!$B$9</f>
        <v>76.15812</v>
      </c>
      <c r="S21" s="28" t="n">
        <f aca="false">(S18-S11-S17)*前提!$B$9</f>
        <v>192.54624</v>
      </c>
      <c r="T21" s="28" t="n">
        <f aca="false">(T18-T11-T17)*前提!$B$9</f>
        <v>192.54624</v>
      </c>
      <c r="U21" s="28" t="n">
        <f aca="false">(U18-U11-U17)*前提!$B$9</f>
        <v>192.54624</v>
      </c>
      <c r="V21" s="28" t="n">
        <f aca="false">(V18-V11-V17)*前提!$B$9</f>
        <v>192.54624</v>
      </c>
      <c r="W21" s="28" t="n">
        <f aca="false">(W18-W11-W17)*前提!$B$9</f>
        <v>192.54624</v>
      </c>
      <c r="X21" s="28" t="n">
        <f aca="false">(X18-X11-X17)*前提!$B$9</f>
        <v>192.54624</v>
      </c>
      <c r="Y21" s="28" t="n">
        <f aca="false">(Y18-Y11-Y17)*前提!$B$9</f>
        <v>192.54624</v>
      </c>
      <c r="Z21" s="28" t="n">
        <f aca="false">(Z18-Z11-Z17)*前提!$B$9</f>
        <v>192.54624</v>
      </c>
      <c r="AA21" s="28" t="n">
        <f aca="false">(AA18-AA11-AA17)*前提!$B$9</f>
        <v>192.54624</v>
      </c>
      <c r="AB21" s="28" t="n">
        <f aca="false">(AB18-AB11-AB17)*前提!$B$9</f>
        <v>192.54624</v>
      </c>
      <c r="AC21" s="28" t="n">
        <f aca="false">(AC18-AC11-AC17)*前提!$B$9</f>
        <v>192.54624</v>
      </c>
      <c r="AD21" s="28" t="n">
        <f aca="false">(AD18-AD11-AD17)*前提!$B$9</f>
        <v>192.54624</v>
      </c>
      <c r="AE21" s="28" t="n">
        <f aca="false">(AE18-AE11-AE17)*前提!$B$9</f>
        <v>192.54624</v>
      </c>
      <c r="AF21" s="28" t="n">
        <f aca="false">(AF18-AF11-AF17)*前提!$B$9</f>
        <v>192.54624</v>
      </c>
      <c r="AG21" s="28" t="n">
        <f aca="false">(AG18-AG11-AG17)*前提!$B$9</f>
        <v>192.54624</v>
      </c>
      <c r="AH21" s="28" t="n">
        <f aca="false">(AH18-AH11-AH17)*前提!$B$9</f>
        <v>192.54624</v>
      </c>
      <c r="AI21" s="28" t="n">
        <f aca="false">(AI18-AI11-AI17)*前提!$B$9</f>
        <v>192.54624</v>
      </c>
      <c r="AJ21" s="28" t="n">
        <f aca="false">(AJ18-AJ11-AJ17)*前提!$B$9</f>
        <v>192.54624</v>
      </c>
      <c r="AK21" s="28" t="n">
        <f aca="false">(AK18-AK11-AK17)*前提!$B$9</f>
        <v>192.54624</v>
      </c>
      <c r="AL21" s="28" t="n">
        <f aca="false">(AL18-AL11-AL17)*前提!$B$9</f>
        <v>192.54624</v>
      </c>
      <c r="AM21" s="28" t="n">
        <f aca="false">(AM18-AM11-AM17)*前提!$B$9</f>
        <v>192.54624</v>
      </c>
      <c r="AN21" s="28" t="n">
        <f aca="false">(AN18-AN11-AN17)*前提!$B$9</f>
        <v>192.54624</v>
      </c>
      <c r="AO21" s="28" t="n">
        <f aca="false">(AO18-AO11-AO17)*前提!$B$9</f>
        <v>192.54624</v>
      </c>
      <c r="AP21" s="28" t="n">
        <f aca="false">(AP18-AP11-AP17)*前提!$B$9</f>
        <v>192.54624</v>
      </c>
      <c r="AQ21" s="27" t="n">
        <f aca="false">SUM(G21:R21)</f>
        <v>913.89744</v>
      </c>
      <c r="AR21" s="27" t="n">
        <f aca="false">SUM(S21:AD21)</f>
        <v>2310.55488</v>
      </c>
      <c r="AS21" s="27" t="n">
        <f aca="false">SUM(AE21:AP21)</f>
        <v>2310.55488</v>
      </c>
      <c r="AT21" s="27" t="n">
        <f aca="false">SUM(G21:AP21)</f>
        <v>5535.0072</v>
      </c>
    </row>
    <row r="22" customFormat="false" ht="15" hidden="false" customHeight="false" outlineLevel="0" collapsed="false">
      <c r="B22" s="15" t="s">
        <v>244</v>
      </c>
      <c r="C22" s="7" t="s">
        <v>226</v>
      </c>
      <c r="D22" s="14" t="n">
        <v>1</v>
      </c>
      <c r="E22" s="14" t="n">
        <v>2</v>
      </c>
      <c r="F22" s="15" t="s">
        <v>227</v>
      </c>
      <c r="G22" s="26" t="n">
        <f aca="false">IF(1&gt;=前提!$B$8,$E22,$D22)*前提!$B$46</f>
        <v>65.7</v>
      </c>
      <c r="H22" s="26" t="n">
        <f aca="false">IF(2&gt;=前提!$B$8,$E22,$D22)*前提!$B$46</f>
        <v>65.7</v>
      </c>
      <c r="I22" s="26" t="n">
        <f aca="false">IF(3&gt;=前提!$B$8,$E22,$D22)*前提!$B$46</f>
        <v>65.7</v>
      </c>
      <c r="J22" s="26" t="n">
        <f aca="false">IF(4&gt;=前提!$B$8,$E22,$D22)*前提!$B$46</f>
        <v>65.7</v>
      </c>
      <c r="K22" s="26" t="n">
        <f aca="false">IF(5&gt;=前提!$B$8,$E22,$D22)*前提!$B$46</f>
        <v>65.7</v>
      </c>
      <c r="L22" s="26" t="n">
        <f aca="false">IF(6&gt;=前提!$B$8,$E22,$D22)*前提!$B$46</f>
        <v>65.7</v>
      </c>
      <c r="M22" s="26" t="n">
        <f aca="false">IF(7&gt;=前提!$B$8,$E22,$D22)*前提!$B$46</f>
        <v>65.7</v>
      </c>
      <c r="N22" s="26" t="n">
        <f aca="false">IF(8&gt;=前提!$B$8,$E22,$D22)*前提!$B$46</f>
        <v>65.7</v>
      </c>
      <c r="O22" s="26" t="n">
        <f aca="false">IF(9&gt;=前提!$B$8,$E22,$D22)*前提!$B$46</f>
        <v>65.7</v>
      </c>
      <c r="P22" s="26" t="n">
        <f aca="false">IF(10&gt;=前提!$B$8,$E22,$D22)*前提!$B$46</f>
        <v>65.7</v>
      </c>
      <c r="Q22" s="26" t="n">
        <f aca="false">IF(11&gt;=前提!$B$8,$E22,$D22)*前提!$B$46</f>
        <v>65.7</v>
      </c>
      <c r="R22" s="26" t="n">
        <f aca="false">IF(12&gt;=前提!$B$8,$E22,$D22)*前提!$B$46</f>
        <v>65.7</v>
      </c>
      <c r="S22" s="26" t="n">
        <f aca="false">IF(13&gt;=前提!$B$8,$E22,$D22)*前提!$B$46</f>
        <v>131.4</v>
      </c>
      <c r="T22" s="26" t="n">
        <f aca="false">IF(14&gt;=前提!$B$8,$E22,$D22)*前提!$B$46</f>
        <v>131.4</v>
      </c>
      <c r="U22" s="26" t="n">
        <f aca="false">IF(15&gt;=前提!$B$8,$E22,$D22)*前提!$B$46</f>
        <v>131.4</v>
      </c>
      <c r="V22" s="26" t="n">
        <f aca="false">IF(16&gt;=前提!$B$8,$E22,$D22)*前提!$B$46</f>
        <v>131.4</v>
      </c>
      <c r="W22" s="26" t="n">
        <f aca="false">IF(17&gt;=前提!$B$8,$E22,$D22)*前提!$B$46</f>
        <v>131.4</v>
      </c>
      <c r="X22" s="26" t="n">
        <f aca="false">IF(18&gt;=前提!$B$8,$E22,$D22)*前提!$B$46</f>
        <v>131.4</v>
      </c>
      <c r="Y22" s="26" t="n">
        <f aca="false">IF(19&gt;=前提!$B$8,$E22,$D22)*前提!$B$46</f>
        <v>131.4</v>
      </c>
      <c r="Z22" s="26" t="n">
        <f aca="false">IF(20&gt;=前提!$B$8,$E22,$D22)*前提!$B$46</f>
        <v>131.4</v>
      </c>
      <c r="AA22" s="26" t="n">
        <f aca="false">IF(21&gt;=前提!$B$8,$E22,$D22)*前提!$B$46</f>
        <v>131.4</v>
      </c>
      <c r="AB22" s="26" t="n">
        <f aca="false">IF(22&gt;=前提!$B$8,$E22,$D22)*前提!$B$46</f>
        <v>131.4</v>
      </c>
      <c r="AC22" s="26" t="n">
        <f aca="false">IF(23&gt;=前提!$B$8,$E22,$D22)*前提!$B$46</f>
        <v>131.4</v>
      </c>
      <c r="AD22" s="26" t="n">
        <f aca="false">IF(24&gt;=前提!$B$8,$E22,$D22)*前提!$B$46</f>
        <v>131.4</v>
      </c>
      <c r="AE22" s="26" t="n">
        <f aca="false">IF(25&gt;=前提!$B$8,$E22,$D22)*前提!$B$46</f>
        <v>131.4</v>
      </c>
      <c r="AF22" s="26" t="n">
        <f aca="false">IF(26&gt;=前提!$B$8,$E22,$D22)*前提!$B$46</f>
        <v>131.4</v>
      </c>
      <c r="AG22" s="26" t="n">
        <f aca="false">IF(27&gt;=前提!$B$8,$E22,$D22)*前提!$B$46</f>
        <v>131.4</v>
      </c>
      <c r="AH22" s="26" t="n">
        <f aca="false">IF(28&gt;=前提!$B$8,$E22,$D22)*前提!$B$46</f>
        <v>131.4</v>
      </c>
      <c r="AI22" s="26" t="n">
        <f aca="false">IF(29&gt;=前提!$B$8,$E22,$D22)*前提!$B$46</f>
        <v>131.4</v>
      </c>
      <c r="AJ22" s="26" t="n">
        <f aca="false">IF(30&gt;=前提!$B$8,$E22,$D22)*前提!$B$46</f>
        <v>131.4</v>
      </c>
      <c r="AK22" s="26" t="n">
        <f aca="false">IF(31&gt;=前提!$B$8,$E22,$D22)*前提!$B$46</f>
        <v>131.4</v>
      </c>
      <c r="AL22" s="26" t="n">
        <f aca="false">IF(32&gt;=前提!$B$8,$E22,$D22)*前提!$B$46</f>
        <v>131.4</v>
      </c>
      <c r="AM22" s="26" t="n">
        <f aca="false">IF(33&gt;=前提!$B$8,$E22,$D22)*前提!$B$46</f>
        <v>131.4</v>
      </c>
      <c r="AN22" s="26" t="n">
        <f aca="false">IF(34&gt;=前提!$B$8,$E22,$D22)*前提!$B$46</f>
        <v>131.4</v>
      </c>
      <c r="AO22" s="26" t="n">
        <f aca="false">IF(35&gt;=前提!$B$8,$E22,$D22)*前提!$B$46</f>
        <v>131.4</v>
      </c>
      <c r="AP22" s="26" t="n">
        <f aca="false">IF(36&gt;=前提!$B$8,$E22,$D22)*前提!$B$46</f>
        <v>131.4</v>
      </c>
      <c r="AQ22" s="27" t="n">
        <f aca="false">SUM(G22:R22)</f>
        <v>788.4</v>
      </c>
      <c r="AR22" s="27" t="n">
        <f aca="false">SUM(S22:AD22)</f>
        <v>1576.8</v>
      </c>
      <c r="AS22" s="27" t="n">
        <f aca="false">SUM(AE22:AP22)</f>
        <v>1576.8</v>
      </c>
      <c r="AT22" s="27" t="n">
        <f aca="false">SUM(G22:AP22)</f>
        <v>3942</v>
      </c>
    </row>
    <row r="23" customFormat="false" ht="15" hidden="false" customHeight="false" outlineLevel="0" collapsed="false">
      <c r="B23" s="12" t="s">
        <v>245</v>
      </c>
      <c r="G23" s="27" t="n">
        <f aca="false">G21+G22</f>
        <v>141.85812</v>
      </c>
      <c r="H23" s="27" t="n">
        <f aca="false">H21+H22</f>
        <v>141.85812</v>
      </c>
      <c r="I23" s="27" t="n">
        <f aca="false">I21+I22</f>
        <v>141.85812</v>
      </c>
      <c r="J23" s="27" t="n">
        <f aca="false">J21+J22</f>
        <v>141.85812</v>
      </c>
      <c r="K23" s="27" t="n">
        <f aca="false">K21+K22</f>
        <v>141.85812</v>
      </c>
      <c r="L23" s="27" t="n">
        <f aca="false">L21+L22</f>
        <v>141.85812</v>
      </c>
      <c r="M23" s="27" t="n">
        <f aca="false">M21+M22</f>
        <v>141.85812</v>
      </c>
      <c r="N23" s="27" t="n">
        <f aca="false">N21+N22</f>
        <v>141.85812</v>
      </c>
      <c r="O23" s="27" t="n">
        <f aca="false">O21+O22</f>
        <v>141.85812</v>
      </c>
      <c r="P23" s="27" t="n">
        <f aca="false">P21+P22</f>
        <v>141.85812</v>
      </c>
      <c r="Q23" s="27" t="n">
        <f aca="false">Q21+Q22</f>
        <v>141.85812</v>
      </c>
      <c r="R23" s="27" t="n">
        <f aca="false">R21+R22</f>
        <v>141.85812</v>
      </c>
      <c r="S23" s="27" t="n">
        <f aca="false">S21+S22</f>
        <v>323.94624</v>
      </c>
      <c r="T23" s="27" t="n">
        <f aca="false">T21+T22</f>
        <v>323.94624</v>
      </c>
      <c r="U23" s="27" t="n">
        <f aca="false">U21+U22</f>
        <v>323.94624</v>
      </c>
      <c r="V23" s="27" t="n">
        <f aca="false">V21+V22</f>
        <v>323.94624</v>
      </c>
      <c r="W23" s="27" t="n">
        <f aca="false">W21+W22</f>
        <v>323.94624</v>
      </c>
      <c r="X23" s="27" t="n">
        <f aca="false">X21+X22</f>
        <v>323.94624</v>
      </c>
      <c r="Y23" s="27" t="n">
        <f aca="false">Y21+Y22</f>
        <v>323.94624</v>
      </c>
      <c r="Z23" s="27" t="n">
        <f aca="false">Z21+Z22</f>
        <v>323.94624</v>
      </c>
      <c r="AA23" s="27" t="n">
        <f aca="false">AA21+AA22</f>
        <v>323.94624</v>
      </c>
      <c r="AB23" s="27" t="n">
        <f aca="false">AB21+AB22</f>
        <v>323.94624</v>
      </c>
      <c r="AC23" s="27" t="n">
        <f aca="false">AC21+AC22</f>
        <v>323.94624</v>
      </c>
      <c r="AD23" s="27" t="n">
        <f aca="false">AD21+AD22</f>
        <v>323.94624</v>
      </c>
      <c r="AE23" s="27" t="n">
        <f aca="false">AE21+AE22</f>
        <v>323.94624</v>
      </c>
      <c r="AF23" s="27" t="n">
        <f aca="false">AF21+AF22</f>
        <v>323.94624</v>
      </c>
      <c r="AG23" s="27" t="n">
        <f aca="false">AG21+AG22</f>
        <v>323.94624</v>
      </c>
      <c r="AH23" s="27" t="n">
        <f aca="false">AH21+AH22</f>
        <v>323.94624</v>
      </c>
      <c r="AI23" s="27" t="n">
        <f aca="false">AI21+AI22</f>
        <v>323.94624</v>
      </c>
      <c r="AJ23" s="27" t="n">
        <f aca="false">AJ21+AJ22</f>
        <v>323.94624</v>
      </c>
      <c r="AK23" s="27" t="n">
        <f aca="false">AK21+AK22</f>
        <v>323.94624</v>
      </c>
      <c r="AL23" s="27" t="n">
        <f aca="false">AL21+AL22</f>
        <v>323.94624</v>
      </c>
      <c r="AM23" s="27" t="n">
        <f aca="false">AM21+AM22</f>
        <v>323.94624</v>
      </c>
      <c r="AN23" s="27" t="n">
        <f aca="false">AN21+AN22</f>
        <v>323.94624</v>
      </c>
      <c r="AO23" s="27" t="n">
        <f aca="false">AO21+AO22</f>
        <v>323.94624</v>
      </c>
      <c r="AP23" s="27" t="n">
        <f aca="false">AP21+AP22</f>
        <v>323.94624</v>
      </c>
      <c r="AQ23" s="27" t="n">
        <f aca="false">AQ21+AQ22</f>
        <v>1702.29744</v>
      </c>
      <c r="AR23" s="27" t="n">
        <f aca="false">AR21+AR22</f>
        <v>3887.35488</v>
      </c>
      <c r="AS23" s="27" t="n">
        <f aca="false">AS21+AS22</f>
        <v>3887.35488</v>
      </c>
      <c r="AT23" s="27" t="n">
        <f aca="false">AT21+AT22</f>
        <v>9477.0072</v>
      </c>
    </row>
    <row r="25" customFormat="false" ht="15" hidden="false" customHeight="false" outlineLevel="0" collapsed="false">
      <c r="B25" s="12" t="s">
        <v>246</v>
      </c>
      <c r="G25" s="27" t="n">
        <f aca="false">G18+G23</f>
        <v>495.65342</v>
      </c>
      <c r="H25" s="27" t="n">
        <f aca="false">H18+H23</f>
        <v>495.65342</v>
      </c>
      <c r="I25" s="27" t="n">
        <f aca="false">I18+I23</f>
        <v>495.65342</v>
      </c>
      <c r="J25" s="27" t="n">
        <f aca="false">J18+J23</f>
        <v>495.65342</v>
      </c>
      <c r="K25" s="27" t="n">
        <f aca="false">K18+K23</f>
        <v>495.65342</v>
      </c>
      <c r="L25" s="27" t="n">
        <f aca="false">L18+L23</f>
        <v>495.65342</v>
      </c>
      <c r="M25" s="27" t="n">
        <f aca="false">M18+M23</f>
        <v>495.65342</v>
      </c>
      <c r="N25" s="27" t="n">
        <f aca="false">N18+N23</f>
        <v>495.65342</v>
      </c>
      <c r="O25" s="27" t="n">
        <f aca="false">O18+O23</f>
        <v>495.65342</v>
      </c>
      <c r="P25" s="27" t="n">
        <f aca="false">P18+P23</f>
        <v>495.65342</v>
      </c>
      <c r="Q25" s="27" t="n">
        <f aca="false">Q18+Q23</f>
        <v>495.65342</v>
      </c>
      <c r="R25" s="27" t="n">
        <f aca="false">R18+R23</f>
        <v>495.65342</v>
      </c>
      <c r="S25" s="27" t="n">
        <f aca="false">S18+S23</f>
        <v>1630.91184</v>
      </c>
      <c r="T25" s="27" t="n">
        <f aca="false">T18+T23</f>
        <v>1630.91184</v>
      </c>
      <c r="U25" s="27" t="n">
        <f aca="false">U18+U23</f>
        <v>1630.91184</v>
      </c>
      <c r="V25" s="27" t="n">
        <f aca="false">V18+V23</f>
        <v>1630.91184</v>
      </c>
      <c r="W25" s="27" t="n">
        <f aca="false">W18+W23</f>
        <v>1630.91184</v>
      </c>
      <c r="X25" s="27" t="n">
        <f aca="false">X18+X23</f>
        <v>1630.91184</v>
      </c>
      <c r="Y25" s="27" t="n">
        <f aca="false">Y18+Y23</f>
        <v>1630.91184</v>
      </c>
      <c r="Z25" s="27" t="n">
        <f aca="false">Z18+Z23</f>
        <v>1630.91184</v>
      </c>
      <c r="AA25" s="27" t="n">
        <f aca="false">AA18+AA23</f>
        <v>1630.91184</v>
      </c>
      <c r="AB25" s="27" t="n">
        <f aca="false">AB18+AB23</f>
        <v>1630.91184</v>
      </c>
      <c r="AC25" s="27" t="n">
        <f aca="false">AC18+AC23</f>
        <v>1630.91184</v>
      </c>
      <c r="AD25" s="27" t="n">
        <f aca="false">AD18+AD23</f>
        <v>1630.91184</v>
      </c>
      <c r="AE25" s="27" t="n">
        <f aca="false">AE18+AE23</f>
        <v>1630.91184</v>
      </c>
      <c r="AF25" s="27" t="n">
        <f aca="false">AF18+AF23</f>
        <v>1630.91184</v>
      </c>
      <c r="AG25" s="27" t="n">
        <f aca="false">AG18+AG23</f>
        <v>1630.91184</v>
      </c>
      <c r="AH25" s="27" t="n">
        <f aca="false">AH18+AH23</f>
        <v>1630.91184</v>
      </c>
      <c r="AI25" s="27" t="n">
        <f aca="false">AI18+AI23</f>
        <v>1630.91184</v>
      </c>
      <c r="AJ25" s="27" t="n">
        <f aca="false">AJ18+AJ23</f>
        <v>1630.91184</v>
      </c>
      <c r="AK25" s="27" t="n">
        <f aca="false">AK18+AK23</f>
        <v>1630.91184</v>
      </c>
      <c r="AL25" s="27" t="n">
        <f aca="false">AL18+AL23</f>
        <v>1630.91184</v>
      </c>
      <c r="AM25" s="27" t="n">
        <f aca="false">AM18+AM23</f>
        <v>1630.91184</v>
      </c>
      <c r="AN25" s="27" t="n">
        <f aca="false">AN18+AN23</f>
        <v>1630.91184</v>
      </c>
      <c r="AO25" s="27" t="n">
        <f aca="false">AO18+AO23</f>
        <v>1630.91184</v>
      </c>
      <c r="AP25" s="27" t="n">
        <f aca="false">AP18+AP23</f>
        <v>1630.91184</v>
      </c>
      <c r="AQ25" s="27" t="n">
        <f aca="false">AQ18+AQ23</f>
        <v>5947.84104</v>
      </c>
      <c r="AR25" s="27" t="n">
        <f aca="false">AR18+AR23</f>
        <v>19570.94208</v>
      </c>
      <c r="AS25" s="27" t="n">
        <f aca="false">AS18+AS23</f>
        <v>19570.94208</v>
      </c>
      <c r="AT25" s="27" t="n">
        <f aca="false">AT18+AT23</f>
        <v>45089.7252</v>
      </c>
    </row>
    <row r="26" customFormat="false" ht="15" hidden="false" customHeight="false" outlineLevel="0" collapsed="false">
      <c r="B26" s="12" t="s">
        <v>27</v>
      </c>
      <c r="G26" s="29" t="n">
        <f aca="false">G25*前提!$B$5</f>
        <v>74348.013</v>
      </c>
      <c r="H26" s="29" t="n">
        <f aca="false">H25*前提!$B$5</f>
        <v>74348.013</v>
      </c>
      <c r="I26" s="29" t="n">
        <f aca="false">I25*前提!$B$5</f>
        <v>74348.013</v>
      </c>
      <c r="J26" s="29" t="n">
        <f aca="false">J25*前提!$B$5</f>
        <v>74348.013</v>
      </c>
      <c r="K26" s="29" t="n">
        <f aca="false">K25*前提!$B$5</f>
        <v>74348.013</v>
      </c>
      <c r="L26" s="29" t="n">
        <f aca="false">L25*前提!$B$5</f>
        <v>74348.013</v>
      </c>
      <c r="M26" s="29" t="n">
        <f aca="false">M25*前提!$B$5</f>
        <v>74348.013</v>
      </c>
      <c r="N26" s="29" t="n">
        <f aca="false">N25*前提!$B$5</f>
        <v>74348.013</v>
      </c>
      <c r="O26" s="29" t="n">
        <f aca="false">O25*前提!$B$5</f>
        <v>74348.013</v>
      </c>
      <c r="P26" s="29" t="n">
        <f aca="false">P25*前提!$B$5</f>
        <v>74348.013</v>
      </c>
      <c r="Q26" s="29" t="n">
        <f aca="false">Q25*前提!$B$5</f>
        <v>74348.013</v>
      </c>
      <c r="R26" s="29" t="n">
        <f aca="false">R25*前提!$B$5</f>
        <v>74348.013</v>
      </c>
      <c r="S26" s="29" t="n">
        <f aca="false">S25*前提!$B$5</f>
        <v>244636.776</v>
      </c>
      <c r="T26" s="29" t="n">
        <f aca="false">T25*前提!$B$5</f>
        <v>244636.776</v>
      </c>
      <c r="U26" s="29" t="n">
        <f aca="false">U25*前提!$B$5</f>
        <v>244636.776</v>
      </c>
      <c r="V26" s="29" t="n">
        <f aca="false">V25*前提!$B$5</f>
        <v>244636.776</v>
      </c>
      <c r="W26" s="29" t="n">
        <f aca="false">W25*前提!$B$5</f>
        <v>244636.776</v>
      </c>
      <c r="X26" s="29" t="n">
        <f aca="false">X25*前提!$B$5</f>
        <v>244636.776</v>
      </c>
      <c r="Y26" s="29" t="n">
        <f aca="false">Y25*前提!$B$5</f>
        <v>244636.776</v>
      </c>
      <c r="Z26" s="29" t="n">
        <f aca="false">Z25*前提!$B$5</f>
        <v>244636.776</v>
      </c>
      <c r="AA26" s="29" t="n">
        <f aca="false">AA25*前提!$B$5</f>
        <v>244636.776</v>
      </c>
      <c r="AB26" s="29" t="n">
        <f aca="false">AB25*前提!$B$5</f>
        <v>244636.776</v>
      </c>
      <c r="AC26" s="29" t="n">
        <f aca="false">AC25*前提!$B$5</f>
        <v>244636.776</v>
      </c>
      <c r="AD26" s="29" t="n">
        <f aca="false">AD25*前提!$B$5</f>
        <v>244636.776</v>
      </c>
      <c r="AE26" s="29" t="n">
        <f aca="false">AE25*前提!$B$5</f>
        <v>244636.776</v>
      </c>
      <c r="AF26" s="29" t="n">
        <f aca="false">AF25*前提!$B$5</f>
        <v>244636.776</v>
      </c>
      <c r="AG26" s="29" t="n">
        <f aca="false">AG25*前提!$B$5</f>
        <v>244636.776</v>
      </c>
      <c r="AH26" s="29" t="n">
        <f aca="false">AH25*前提!$B$5</f>
        <v>244636.776</v>
      </c>
      <c r="AI26" s="29" t="n">
        <f aca="false">AI25*前提!$B$5</f>
        <v>244636.776</v>
      </c>
      <c r="AJ26" s="29" t="n">
        <f aca="false">AJ25*前提!$B$5</f>
        <v>244636.776</v>
      </c>
      <c r="AK26" s="29" t="n">
        <f aca="false">AK25*前提!$B$5</f>
        <v>244636.776</v>
      </c>
      <c r="AL26" s="29" t="n">
        <f aca="false">AL25*前提!$B$5</f>
        <v>244636.776</v>
      </c>
      <c r="AM26" s="29" t="n">
        <f aca="false">AM25*前提!$B$5</f>
        <v>244636.776</v>
      </c>
      <c r="AN26" s="29" t="n">
        <f aca="false">AN25*前提!$B$5</f>
        <v>244636.776</v>
      </c>
      <c r="AO26" s="29" t="n">
        <f aca="false">AO25*前提!$B$5</f>
        <v>244636.776</v>
      </c>
      <c r="AP26" s="29" t="n">
        <f aca="false">AP25*前提!$B$5</f>
        <v>244636.776</v>
      </c>
      <c r="AQ26" s="29" t="n">
        <f aca="false">AQ25*前提!$B$5</f>
        <v>892176.156</v>
      </c>
      <c r="AR26" s="29" t="n">
        <f aca="false">AR25*前提!$B$5</f>
        <v>2935641.312</v>
      </c>
      <c r="AS26" s="29" t="n">
        <f aca="false">AS25*前提!$B$5</f>
        <v>2935641.312</v>
      </c>
      <c r="AT26" s="29" t="n">
        <f aca="false">AT25*前提!$B$5</f>
        <v>6763458.78</v>
      </c>
    </row>
    <row r="27" customFormat="false" ht="15" hidden="false" customHeight="false" outlineLevel="0" collapsed="false">
      <c r="B27" s="12" t="s">
        <v>247</v>
      </c>
      <c r="C27" s="2" t="s">
        <v>248</v>
      </c>
      <c r="G27" s="6" t="n">
        <f aca="false">前提!$B$10*前提!$B$11</f>
        <v>805000</v>
      </c>
      <c r="H27" s="6" t="n">
        <f aca="false">前提!$B$10*前提!$B$11</f>
        <v>805000</v>
      </c>
      <c r="I27" s="6" t="n">
        <f aca="false">前提!$B$10*前提!$B$11</f>
        <v>805000</v>
      </c>
      <c r="J27" s="6" t="n">
        <f aca="false">前提!$B$10*前提!$B$11</f>
        <v>805000</v>
      </c>
      <c r="K27" s="6" t="n">
        <f aca="false">前提!$B$10*前提!$B$11</f>
        <v>805000</v>
      </c>
      <c r="L27" s="6" t="n">
        <f aca="false">前提!$B$10*前提!$B$11</f>
        <v>805000</v>
      </c>
      <c r="M27" s="6" t="n">
        <f aca="false">前提!$B$10*前提!$B$11</f>
        <v>805000</v>
      </c>
      <c r="N27" s="6" t="n">
        <f aca="false">前提!$B$10*前提!$B$11</f>
        <v>805000</v>
      </c>
      <c r="O27" s="6" t="n">
        <f aca="false">前提!$B$10*前提!$B$11</f>
        <v>805000</v>
      </c>
      <c r="P27" s="6" t="n">
        <f aca="false">前提!$B$10*前提!$B$11</f>
        <v>805000</v>
      </c>
      <c r="Q27" s="6" t="n">
        <f aca="false">前提!$B$10*前提!$B$11</f>
        <v>805000</v>
      </c>
      <c r="R27" s="6" t="n">
        <f aca="false">前提!$B$10*前提!$B$11</f>
        <v>805000</v>
      </c>
      <c r="S27" s="6" t="n">
        <f aca="false">前提!$B$10*前提!$B$11</f>
        <v>805000</v>
      </c>
      <c r="T27" s="6" t="n">
        <f aca="false">前提!$B$10*前提!$B$11</f>
        <v>805000</v>
      </c>
      <c r="U27" s="6" t="n">
        <f aca="false">前提!$B$10*前提!$B$11</f>
        <v>805000</v>
      </c>
      <c r="V27" s="6" t="n">
        <f aca="false">前提!$B$10*前提!$B$11</f>
        <v>805000</v>
      </c>
      <c r="W27" s="6" t="n">
        <f aca="false">前提!$B$10*前提!$B$11</f>
        <v>805000</v>
      </c>
      <c r="X27" s="6" t="n">
        <f aca="false">前提!$B$10*前提!$B$11</f>
        <v>805000</v>
      </c>
      <c r="Y27" s="6" t="n">
        <f aca="false">前提!$B$10*前提!$B$11</f>
        <v>805000</v>
      </c>
      <c r="Z27" s="6" t="n">
        <f aca="false">前提!$B$10*前提!$B$11</f>
        <v>805000</v>
      </c>
      <c r="AA27" s="6" t="n">
        <f aca="false">前提!$B$10*前提!$B$11</f>
        <v>805000</v>
      </c>
      <c r="AB27" s="6" t="n">
        <f aca="false">前提!$B$10*前提!$B$11</f>
        <v>805000</v>
      </c>
      <c r="AC27" s="6" t="n">
        <f aca="false">前提!$B$10*前提!$B$11</f>
        <v>805000</v>
      </c>
      <c r="AD27" s="6" t="n">
        <f aca="false">前提!$B$10*前提!$B$11</f>
        <v>805000</v>
      </c>
      <c r="AE27" s="6" t="n">
        <f aca="false">前提!$B$10*前提!$B$11</f>
        <v>805000</v>
      </c>
      <c r="AF27" s="6" t="n">
        <f aca="false">前提!$B$10*前提!$B$11</f>
        <v>805000</v>
      </c>
      <c r="AG27" s="6" t="n">
        <f aca="false">前提!$B$10*前提!$B$11</f>
        <v>805000</v>
      </c>
      <c r="AH27" s="6" t="n">
        <f aca="false">前提!$B$10*前提!$B$11</f>
        <v>805000</v>
      </c>
      <c r="AI27" s="6" t="n">
        <f aca="false">前提!$B$10*前提!$B$11</f>
        <v>805000</v>
      </c>
      <c r="AJ27" s="6" t="n">
        <f aca="false">前提!$B$10*前提!$B$11</f>
        <v>805000</v>
      </c>
      <c r="AK27" s="6" t="n">
        <f aca="false">前提!$B$10*前提!$B$11</f>
        <v>805000</v>
      </c>
      <c r="AL27" s="6" t="n">
        <f aca="false">前提!$B$10*前提!$B$11</f>
        <v>805000</v>
      </c>
      <c r="AM27" s="6" t="n">
        <f aca="false">前提!$B$10*前提!$B$11</f>
        <v>805000</v>
      </c>
      <c r="AN27" s="6" t="n">
        <f aca="false">前提!$B$10*前提!$B$11</f>
        <v>805000</v>
      </c>
      <c r="AO27" s="6" t="n">
        <f aca="false">前提!$B$10*前提!$B$11</f>
        <v>805000</v>
      </c>
      <c r="AP27" s="6" t="n">
        <f aca="false">前提!$B$10*前提!$B$11</f>
        <v>805000</v>
      </c>
      <c r="AQ27" s="18" t="n">
        <f aca="false">SUM(G27:R27)</f>
        <v>9660000</v>
      </c>
      <c r="AR27" s="18" t="n">
        <f aca="false">SUM(S27:AD27)</f>
        <v>9660000</v>
      </c>
      <c r="AS27" s="18" t="n">
        <f aca="false">SUM(AE27:AP27)</f>
        <v>9660000</v>
      </c>
      <c r="AT27" s="18" t="n">
        <f aca="false">SUM(G27:AP27)</f>
        <v>28980000</v>
      </c>
    </row>
    <row r="28" customFormat="false" ht="15" hidden="false" customHeight="false" outlineLevel="0" collapsed="false">
      <c r="B28" s="10" t="s">
        <v>249</v>
      </c>
      <c r="G28" s="9" t="n">
        <f aca="false">G26+G27</f>
        <v>879348.013</v>
      </c>
      <c r="H28" s="9" t="n">
        <f aca="false">H26+H27</f>
        <v>879348.013</v>
      </c>
      <c r="I28" s="9" t="n">
        <f aca="false">I26+I27</f>
        <v>879348.013</v>
      </c>
      <c r="J28" s="9" t="n">
        <f aca="false">J26+J27</f>
        <v>879348.013</v>
      </c>
      <c r="K28" s="9" t="n">
        <f aca="false">K26+K27</f>
        <v>879348.013</v>
      </c>
      <c r="L28" s="9" t="n">
        <f aca="false">L26+L27</f>
        <v>879348.013</v>
      </c>
      <c r="M28" s="9" t="n">
        <f aca="false">M26+M27</f>
        <v>879348.013</v>
      </c>
      <c r="N28" s="9" t="n">
        <f aca="false">N26+N27</f>
        <v>879348.013</v>
      </c>
      <c r="O28" s="9" t="n">
        <f aca="false">O26+O27</f>
        <v>879348.013</v>
      </c>
      <c r="P28" s="9" t="n">
        <f aca="false">P26+P27</f>
        <v>879348.013</v>
      </c>
      <c r="Q28" s="9" t="n">
        <f aca="false">Q26+Q27</f>
        <v>879348.013</v>
      </c>
      <c r="R28" s="9" t="n">
        <f aca="false">R26+R27</f>
        <v>879348.013</v>
      </c>
      <c r="S28" s="9" t="n">
        <f aca="false">S26+S27</f>
        <v>1049636.776</v>
      </c>
      <c r="T28" s="9" t="n">
        <f aca="false">T26+T27</f>
        <v>1049636.776</v>
      </c>
      <c r="U28" s="9" t="n">
        <f aca="false">U26+U27</f>
        <v>1049636.776</v>
      </c>
      <c r="V28" s="9" t="n">
        <f aca="false">V26+V27</f>
        <v>1049636.776</v>
      </c>
      <c r="W28" s="9" t="n">
        <f aca="false">W26+W27</f>
        <v>1049636.776</v>
      </c>
      <c r="X28" s="9" t="n">
        <f aca="false">X26+X27</f>
        <v>1049636.776</v>
      </c>
      <c r="Y28" s="9" t="n">
        <f aca="false">Y26+Y27</f>
        <v>1049636.776</v>
      </c>
      <c r="Z28" s="9" t="n">
        <f aca="false">Z26+Z27</f>
        <v>1049636.776</v>
      </c>
      <c r="AA28" s="9" t="n">
        <f aca="false">AA26+AA27</f>
        <v>1049636.776</v>
      </c>
      <c r="AB28" s="9" t="n">
        <f aca="false">AB26+AB27</f>
        <v>1049636.776</v>
      </c>
      <c r="AC28" s="9" t="n">
        <f aca="false">AC26+AC27</f>
        <v>1049636.776</v>
      </c>
      <c r="AD28" s="9" t="n">
        <f aca="false">AD26+AD27</f>
        <v>1049636.776</v>
      </c>
      <c r="AE28" s="9" t="n">
        <f aca="false">AE26+AE27</f>
        <v>1049636.776</v>
      </c>
      <c r="AF28" s="9" t="n">
        <f aca="false">AF26+AF27</f>
        <v>1049636.776</v>
      </c>
      <c r="AG28" s="9" t="n">
        <f aca="false">AG26+AG27</f>
        <v>1049636.776</v>
      </c>
      <c r="AH28" s="9" t="n">
        <f aca="false">AH26+AH27</f>
        <v>1049636.776</v>
      </c>
      <c r="AI28" s="9" t="n">
        <f aca="false">AI26+AI27</f>
        <v>1049636.776</v>
      </c>
      <c r="AJ28" s="9" t="n">
        <f aca="false">AJ26+AJ27</f>
        <v>1049636.776</v>
      </c>
      <c r="AK28" s="9" t="n">
        <f aca="false">AK26+AK27</f>
        <v>1049636.776</v>
      </c>
      <c r="AL28" s="9" t="n">
        <f aca="false">AL26+AL27</f>
        <v>1049636.776</v>
      </c>
      <c r="AM28" s="9" t="n">
        <f aca="false">AM26+AM27</f>
        <v>1049636.776</v>
      </c>
      <c r="AN28" s="9" t="n">
        <f aca="false">AN26+AN27</f>
        <v>1049636.776</v>
      </c>
      <c r="AO28" s="9" t="n">
        <f aca="false">AO26+AO27</f>
        <v>1049636.776</v>
      </c>
      <c r="AP28" s="9" t="n">
        <f aca="false">AP26+AP27</f>
        <v>1049636.776</v>
      </c>
      <c r="AQ28" s="9" t="n">
        <f aca="false">AQ26+AQ27</f>
        <v>10552176.156</v>
      </c>
      <c r="AR28" s="9" t="n">
        <f aca="false">AR26+AR27</f>
        <v>12595641.312</v>
      </c>
      <c r="AS28" s="9" t="n">
        <f aca="false">AS26+AS27</f>
        <v>12595641.312</v>
      </c>
      <c r="AT28" s="9" t="n">
        <f aca="false">AT26+AT27</f>
        <v>35743458.78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171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3" min="3" style="0" width="40"/>
    <col collapsed="false" customWidth="true" hidden="false" outlineLevel="0" max="5" min="4" style="0" width="11"/>
    <col collapsed="false" customWidth="true" hidden="false" outlineLevel="0" max="6" min="6" style="0" width="12"/>
    <col collapsed="false" customWidth="true" hidden="false" outlineLevel="0" max="42" min="7" style="0" width="11"/>
    <col collapsed="false" customWidth="true" hidden="false" outlineLevel="0" max="45" min="43" style="0" width="13"/>
    <col collapsed="false" customWidth="true" hidden="false" outlineLevel="0" max="46" min="46" style="0" width="14"/>
  </cols>
  <sheetData>
    <row r="1" customFormat="false" ht="19.4" hidden="false" customHeight="false" outlineLevel="0" collapsed="false">
      <c r="A1" s="22" t="s">
        <v>250</v>
      </c>
    </row>
    <row r="2" customFormat="false" ht="15" hidden="false" customHeight="false" outlineLevel="0" collapsed="false">
      <c r="A2" s="2" t="s">
        <v>163</v>
      </c>
    </row>
    <row r="4" customFormat="false" ht="15" hidden="false" customHeight="false" outlineLevel="0" collapsed="false">
      <c r="A4" s="3" t="s">
        <v>137</v>
      </c>
      <c r="B4" s="3" t="s">
        <v>164</v>
      </c>
      <c r="C4" s="3" t="s">
        <v>165</v>
      </c>
      <c r="D4" s="3" t="s">
        <v>166</v>
      </c>
      <c r="E4" s="3" t="s">
        <v>167</v>
      </c>
      <c r="F4" s="3" t="s">
        <v>40</v>
      </c>
      <c r="G4" s="4" t="s">
        <v>168</v>
      </c>
      <c r="H4" s="4" t="s">
        <v>169</v>
      </c>
      <c r="I4" s="4" t="s">
        <v>170</v>
      </c>
      <c r="J4" s="4" t="s">
        <v>171</v>
      </c>
      <c r="K4" s="4" t="s">
        <v>172</v>
      </c>
      <c r="L4" s="4" t="s">
        <v>173</v>
      </c>
      <c r="M4" s="4" t="s">
        <v>174</v>
      </c>
      <c r="N4" s="4" t="s">
        <v>175</v>
      </c>
      <c r="O4" s="4" t="s">
        <v>176</v>
      </c>
      <c r="P4" s="4" t="s">
        <v>177</v>
      </c>
      <c r="Q4" s="4" t="s">
        <v>178</v>
      </c>
      <c r="R4" s="4" t="s">
        <v>179</v>
      </c>
      <c r="S4" s="4" t="s">
        <v>180</v>
      </c>
      <c r="T4" s="4" t="s">
        <v>181</v>
      </c>
      <c r="U4" s="4" t="s">
        <v>182</v>
      </c>
      <c r="V4" s="4" t="s">
        <v>183</v>
      </c>
      <c r="W4" s="4" t="s">
        <v>184</v>
      </c>
      <c r="X4" s="4" t="s">
        <v>185</v>
      </c>
      <c r="Y4" s="4" t="s">
        <v>186</v>
      </c>
      <c r="Z4" s="4" t="s">
        <v>187</v>
      </c>
      <c r="AA4" s="4" t="s">
        <v>188</v>
      </c>
      <c r="AB4" s="4" t="s">
        <v>189</v>
      </c>
      <c r="AC4" s="4" t="s">
        <v>190</v>
      </c>
      <c r="AD4" s="4" t="s">
        <v>191</v>
      </c>
      <c r="AE4" s="4" t="s">
        <v>192</v>
      </c>
      <c r="AF4" s="4" t="s">
        <v>193</v>
      </c>
      <c r="AG4" s="4" t="s">
        <v>194</v>
      </c>
      <c r="AH4" s="4" t="s">
        <v>195</v>
      </c>
      <c r="AI4" s="4" t="s">
        <v>196</v>
      </c>
      <c r="AJ4" s="4" t="s">
        <v>197</v>
      </c>
      <c r="AK4" s="4" t="s">
        <v>198</v>
      </c>
      <c r="AL4" s="4" t="s">
        <v>199</v>
      </c>
      <c r="AM4" s="4" t="s">
        <v>200</v>
      </c>
      <c r="AN4" s="4" t="s">
        <v>201</v>
      </c>
      <c r="AO4" s="4" t="s">
        <v>202</v>
      </c>
      <c r="AP4" s="4" t="s">
        <v>203</v>
      </c>
      <c r="AQ4" s="3" t="s">
        <v>204</v>
      </c>
      <c r="AR4" s="3" t="s">
        <v>205</v>
      </c>
      <c r="AS4" s="3" t="s">
        <v>206</v>
      </c>
      <c r="AT4" s="4" t="s">
        <v>207</v>
      </c>
    </row>
    <row r="5" customFormat="false" ht="15" hidden="false" customHeight="false" outlineLevel="0" collapsed="false">
      <c r="A5" s="23" t="s">
        <v>208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</row>
    <row r="6" customFormat="false" ht="15" hidden="false" customHeight="false" outlineLevel="0" collapsed="false">
      <c r="A6" s="5" t="s">
        <v>209</v>
      </c>
      <c r="B6" s="15" t="s">
        <v>251</v>
      </c>
      <c r="C6" s="2" t="s">
        <v>252</v>
      </c>
      <c r="D6" s="14" t="n">
        <v>1</v>
      </c>
      <c r="E6" s="14" t="n">
        <v>3</v>
      </c>
      <c r="F6" s="5" t="s">
        <v>253</v>
      </c>
      <c r="G6" s="26" t="n">
        <f aca="false">IF(1&gt;=前提!$B$8,$E6,$D6)*(前提!$B$44*1+前提!$B$45*2)*前提!$B$6*3600</f>
        <v>57.816</v>
      </c>
      <c r="H6" s="26" t="n">
        <f aca="false">IF(2&gt;=前提!$B$8,$E6,$D6)*(前提!$B$44*1+前提!$B$45*2)*前提!$B$6*3600</f>
        <v>57.816</v>
      </c>
      <c r="I6" s="26" t="n">
        <f aca="false">IF(3&gt;=前提!$B$8,$E6,$D6)*(前提!$B$44*1+前提!$B$45*2)*前提!$B$6*3600</f>
        <v>57.816</v>
      </c>
      <c r="J6" s="26" t="n">
        <f aca="false">IF(4&gt;=前提!$B$8,$E6,$D6)*(前提!$B$44*1+前提!$B$45*2)*前提!$B$6*3600</f>
        <v>57.816</v>
      </c>
      <c r="K6" s="26" t="n">
        <f aca="false">IF(5&gt;=前提!$B$8,$E6,$D6)*(前提!$B$44*1+前提!$B$45*2)*前提!$B$6*3600</f>
        <v>57.816</v>
      </c>
      <c r="L6" s="26" t="n">
        <f aca="false">IF(6&gt;=前提!$B$8,$E6,$D6)*(前提!$B$44*1+前提!$B$45*2)*前提!$B$6*3600</f>
        <v>57.816</v>
      </c>
      <c r="M6" s="26" t="n">
        <f aca="false">IF(7&gt;=前提!$B$8,$E6,$D6)*(前提!$B$44*1+前提!$B$45*2)*前提!$B$6*3600</f>
        <v>57.816</v>
      </c>
      <c r="N6" s="26" t="n">
        <f aca="false">IF(8&gt;=前提!$B$8,$E6,$D6)*(前提!$B$44*1+前提!$B$45*2)*前提!$B$6*3600</f>
        <v>57.816</v>
      </c>
      <c r="O6" s="26" t="n">
        <f aca="false">IF(9&gt;=前提!$B$8,$E6,$D6)*(前提!$B$44*1+前提!$B$45*2)*前提!$B$6*3600</f>
        <v>57.816</v>
      </c>
      <c r="P6" s="26" t="n">
        <f aca="false">IF(10&gt;=前提!$B$8,$E6,$D6)*(前提!$B$44*1+前提!$B$45*2)*前提!$B$6*3600</f>
        <v>57.816</v>
      </c>
      <c r="Q6" s="26" t="n">
        <f aca="false">IF(11&gt;=前提!$B$8,$E6,$D6)*(前提!$B$44*1+前提!$B$45*2)*前提!$B$6*3600</f>
        <v>57.816</v>
      </c>
      <c r="R6" s="26" t="n">
        <f aca="false">IF(12&gt;=前提!$B$8,$E6,$D6)*(前提!$B$44*1+前提!$B$45*2)*前提!$B$6*3600</f>
        <v>57.816</v>
      </c>
      <c r="S6" s="26" t="n">
        <f aca="false">IF(13&gt;=前提!$B$8,$E6,$D6)*(前提!$B$44*1+前提!$B$45*2)*前提!$B$6*3600</f>
        <v>173.448</v>
      </c>
      <c r="T6" s="26" t="n">
        <f aca="false">IF(14&gt;=前提!$B$8,$E6,$D6)*(前提!$B$44*1+前提!$B$45*2)*前提!$B$6*3600</f>
        <v>173.448</v>
      </c>
      <c r="U6" s="26" t="n">
        <f aca="false">IF(15&gt;=前提!$B$8,$E6,$D6)*(前提!$B$44*1+前提!$B$45*2)*前提!$B$6*3600</f>
        <v>173.448</v>
      </c>
      <c r="V6" s="26" t="n">
        <f aca="false">IF(16&gt;=前提!$B$8,$E6,$D6)*(前提!$B$44*1+前提!$B$45*2)*前提!$B$6*3600</f>
        <v>173.448</v>
      </c>
      <c r="W6" s="26" t="n">
        <f aca="false">IF(17&gt;=前提!$B$8,$E6,$D6)*(前提!$B$44*1+前提!$B$45*2)*前提!$B$6*3600</f>
        <v>173.448</v>
      </c>
      <c r="X6" s="26" t="n">
        <f aca="false">IF(18&gt;=前提!$B$8,$E6,$D6)*(前提!$B$44*1+前提!$B$45*2)*前提!$B$6*3600</f>
        <v>173.448</v>
      </c>
      <c r="Y6" s="26" t="n">
        <f aca="false">IF(19&gt;=前提!$B$8,$E6,$D6)*(前提!$B$44*1+前提!$B$45*2)*前提!$B$6*3600</f>
        <v>173.448</v>
      </c>
      <c r="Z6" s="26" t="n">
        <f aca="false">IF(20&gt;=前提!$B$8,$E6,$D6)*(前提!$B$44*1+前提!$B$45*2)*前提!$B$6*3600</f>
        <v>173.448</v>
      </c>
      <c r="AA6" s="26" t="n">
        <f aca="false">IF(21&gt;=前提!$B$8,$E6,$D6)*(前提!$B$44*1+前提!$B$45*2)*前提!$B$6*3600</f>
        <v>173.448</v>
      </c>
      <c r="AB6" s="26" t="n">
        <f aca="false">IF(22&gt;=前提!$B$8,$E6,$D6)*(前提!$B$44*1+前提!$B$45*2)*前提!$B$6*3600</f>
        <v>173.448</v>
      </c>
      <c r="AC6" s="26" t="n">
        <f aca="false">IF(23&gt;=前提!$B$8,$E6,$D6)*(前提!$B$44*1+前提!$B$45*2)*前提!$B$6*3600</f>
        <v>173.448</v>
      </c>
      <c r="AD6" s="26" t="n">
        <f aca="false">IF(24&gt;=前提!$B$8,$E6,$D6)*(前提!$B$44*1+前提!$B$45*2)*前提!$B$6*3600</f>
        <v>173.448</v>
      </c>
      <c r="AE6" s="26" t="n">
        <f aca="false">IF(25&gt;=前提!$B$8,$E6,$D6)*(前提!$B$44*1+前提!$B$45*2)*前提!$B$6*3600</f>
        <v>173.448</v>
      </c>
      <c r="AF6" s="26" t="n">
        <f aca="false">IF(26&gt;=前提!$B$8,$E6,$D6)*(前提!$B$44*1+前提!$B$45*2)*前提!$B$6*3600</f>
        <v>173.448</v>
      </c>
      <c r="AG6" s="26" t="n">
        <f aca="false">IF(27&gt;=前提!$B$8,$E6,$D6)*(前提!$B$44*1+前提!$B$45*2)*前提!$B$6*3600</f>
        <v>173.448</v>
      </c>
      <c r="AH6" s="26" t="n">
        <f aca="false">IF(28&gt;=前提!$B$8,$E6,$D6)*(前提!$B$44*1+前提!$B$45*2)*前提!$B$6*3600</f>
        <v>173.448</v>
      </c>
      <c r="AI6" s="26" t="n">
        <f aca="false">IF(29&gt;=前提!$B$8,$E6,$D6)*(前提!$B$44*1+前提!$B$45*2)*前提!$B$6*3600</f>
        <v>173.448</v>
      </c>
      <c r="AJ6" s="26" t="n">
        <f aca="false">IF(30&gt;=前提!$B$8,$E6,$D6)*(前提!$B$44*1+前提!$B$45*2)*前提!$B$6*3600</f>
        <v>173.448</v>
      </c>
      <c r="AK6" s="26" t="n">
        <f aca="false">IF(31&gt;=前提!$B$8,$E6,$D6)*(前提!$B$44*1+前提!$B$45*2)*前提!$B$6*3600</f>
        <v>173.448</v>
      </c>
      <c r="AL6" s="26" t="n">
        <f aca="false">IF(32&gt;=前提!$B$8,$E6,$D6)*(前提!$B$44*1+前提!$B$45*2)*前提!$B$6*3600</f>
        <v>173.448</v>
      </c>
      <c r="AM6" s="26" t="n">
        <f aca="false">IF(33&gt;=前提!$B$8,$E6,$D6)*(前提!$B$44*1+前提!$B$45*2)*前提!$B$6*3600</f>
        <v>173.448</v>
      </c>
      <c r="AN6" s="26" t="n">
        <f aca="false">IF(34&gt;=前提!$B$8,$E6,$D6)*(前提!$B$44*1+前提!$B$45*2)*前提!$B$6*3600</f>
        <v>173.448</v>
      </c>
      <c r="AO6" s="26" t="n">
        <f aca="false">IF(35&gt;=前提!$B$8,$E6,$D6)*(前提!$B$44*1+前提!$B$45*2)*前提!$B$6*3600</f>
        <v>173.448</v>
      </c>
      <c r="AP6" s="26" t="n">
        <f aca="false">IF(36&gt;=前提!$B$8,$E6,$D6)*(前提!$B$44*1+前提!$B$45*2)*前提!$B$6*3600</f>
        <v>173.448</v>
      </c>
      <c r="AQ6" s="27" t="n">
        <f aca="false">SUM(G6:R6)</f>
        <v>693.792</v>
      </c>
      <c r="AR6" s="27" t="n">
        <f aca="false">SUM(S6:AD6)</f>
        <v>2081.376</v>
      </c>
      <c r="AS6" s="27" t="n">
        <f aca="false">SUM(AE6:AP6)</f>
        <v>2081.376</v>
      </c>
      <c r="AT6" s="27" t="n">
        <f aca="false">SUM(G6:AP6)</f>
        <v>4856.544</v>
      </c>
    </row>
    <row r="7" customFormat="false" ht="15" hidden="false" customHeight="false" outlineLevel="0" collapsed="false">
      <c r="A7" s="5" t="s">
        <v>209</v>
      </c>
      <c r="B7" s="15" t="s">
        <v>254</v>
      </c>
      <c r="C7" s="2" t="s">
        <v>255</v>
      </c>
      <c r="D7" s="14" t="n">
        <v>1</v>
      </c>
      <c r="E7" s="14" t="n">
        <v>2</v>
      </c>
      <c r="F7" s="5" t="s">
        <v>253</v>
      </c>
      <c r="G7" s="26" t="n">
        <f aca="false">IF(1&gt;=前提!$B$8,$E7,$D7)*(前提!$B$44*1+前提!$B$45*0.5)*前提!$B$6*3600</f>
        <v>49.932</v>
      </c>
      <c r="H7" s="26" t="n">
        <f aca="false">IF(2&gt;=前提!$B$8,$E7,$D7)*(前提!$B$44*1+前提!$B$45*0.5)*前提!$B$6*3600</f>
        <v>49.932</v>
      </c>
      <c r="I7" s="26" t="n">
        <f aca="false">IF(3&gt;=前提!$B$8,$E7,$D7)*(前提!$B$44*1+前提!$B$45*0.5)*前提!$B$6*3600</f>
        <v>49.932</v>
      </c>
      <c r="J7" s="26" t="n">
        <f aca="false">IF(4&gt;=前提!$B$8,$E7,$D7)*(前提!$B$44*1+前提!$B$45*0.5)*前提!$B$6*3600</f>
        <v>49.932</v>
      </c>
      <c r="K7" s="26" t="n">
        <f aca="false">IF(5&gt;=前提!$B$8,$E7,$D7)*(前提!$B$44*1+前提!$B$45*0.5)*前提!$B$6*3600</f>
        <v>49.932</v>
      </c>
      <c r="L7" s="26" t="n">
        <f aca="false">IF(6&gt;=前提!$B$8,$E7,$D7)*(前提!$B$44*1+前提!$B$45*0.5)*前提!$B$6*3600</f>
        <v>49.932</v>
      </c>
      <c r="M7" s="26" t="n">
        <f aca="false">IF(7&gt;=前提!$B$8,$E7,$D7)*(前提!$B$44*1+前提!$B$45*0.5)*前提!$B$6*3600</f>
        <v>49.932</v>
      </c>
      <c r="N7" s="26" t="n">
        <f aca="false">IF(8&gt;=前提!$B$8,$E7,$D7)*(前提!$B$44*1+前提!$B$45*0.5)*前提!$B$6*3600</f>
        <v>49.932</v>
      </c>
      <c r="O7" s="26" t="n">
        <f aca="false">IF(9&gt;=前提!$B$8,$E7,$D7)*(前提!$B$44*1+前提!$B$45*0.5)*前提!$B$6*3600</f>
        <v>49.932</v>
      </c>
      <c r="P7" s="26" t="n">
        <f aca="false">IF(10&gt;=前提!$B$8,$E7,$D7)*(前提!$B$44*1+前提!$B$45*0.5)*前提!$B$6*3600</f>
        <v>49.932</v>
      </c>
      <c r="Q7" s="26" t="n">
        <f aca="false">IF(11&gt;=前提!$B$8,$E7,$D7)*(前提!$B$44*1+前提!$B$45*0.5)*前提!$B$6*3600</f>
        <v>49.932</v>
      </c>
      <c r="R7" s="26" t="n">
        <f aca="false">IF(12&gt;=前提!$B$8,$E7,$D7)*(前提!$B$44*1+前提!$B$45*0.5)*前提!$B$6*3600</f>
        <v>49.932</v>
      </c>
      <c r="S7" s="26" t="n">
        <f aca="false">IF(13&gt;=前提!$B$8,$E7,$D7)*(前提!$B$44*1+前提!$B$45*0.5)*前提!$B$6*3600</f>
        <v>99.864</v>
      </c>
      <c r="T7" s="26" t="n">
        <f aca="false">IF(14&gt;=前提!$B$8,$E7,$D7)*(前提!$B$44*1+前提!$B$45*0.5)*前提!$B$6*3600</f>
        <v>99.864</v>
      </c>
      <c r="U7" s="26" t="n">
        <f aca="false">IF(15&gt;=前提!$B$8,$E7,$D7)*(前提!$B$44*1+前提!$B$45*0.5)*前提!$B$6*3600</f>
        <v>99.864</v>
      </c>
      <c r="V7" s="26" t="n">
        <f aca="false">IF(16&gt;=前提!$B$8,$E7,$D7)*(前提!$B$44*1+前提!$B$45*0.5)*前提!$B$6*3600</f>
        <v>99.864</v>
      </c>
      <c r="W7" s="26" t="n">
        <f aca="false">IF(17&gt;=前提!$B$8,$E7,$D7)*(前提!$B$44*1+前提!$B$45*0.5)*前提!$B$6*3600</f>
        <v>99.864</v>
      </c>
      <c r="X7" s="26" t="n">
        <f aca="false">IF(18&gt;=前提!$B$8,$E7,$D7)*(前提!$B$44*1+前提!$B$45*0.5)*前提!$B$6*3600</f>
        <v>99.864</v>
      </c>
      <c r="Y7" s="26" t="n">
        <f aca="false">IF(19&gt;=前提!$B$8,$E7,$D7)*(前提!$B$44*1+前提!$B$45*0.5)*前提!$B$6*3600</f>
        <v>99.864</v>
      </c>
      <c r="Z7" s="26" t="n">
        <f aca="false">IF(20&gt;=前提!$B$8,$E7,$D7)*(前提!$B$44*1+前提!$B$45*0.5)*前提!$B$6*3600</f>
        <v>99.864</v>
      </c>
      <c r="AA7" s="26" t="n">
        <f aca="false">IF(21&gt;=前提!$B$8,$E7,$D7)*(前提!$B$44*1+前提!$B$45*0.5)*前提!$B$6*3600</f>
        <v>99.864</v>
      </c>
      <c r="AB7" s="26" t="n">
        <f aca="false">IF(22&gt;=前提!$B$8,$E7,$D7)*(前提!$B$44*1+前提!$B$45*0.5)*前提!$B$6*3600</f>
        <v>99.864</v>
      </c>
      <c r="AC7" s="26" t="n">
        <f aca="false">IF(23&gt;=前提!$B$8,$E7,$D7)*(前提!$B$44*1+前提!$B$45*0.5)*前提!$B$6*3600</f>
        <v>99.864</v>
      </c>
      <c r="AD7" s="26" t="n">
        <f aca="false">IF(24&gt;=前提!$B$8,$E7,$D7)*(前提!$B$44*1+前提!$B$45*0.5)*前提!$B$6*3600</f>
        <v>99.864</v>
      </c>
      <c r="AE7" s="26" t="n">
        <f aca="false">IF(25&gt;=前提!$B$8,$E7,$D7)*(前提!$B$44*1+前提!$B$45*0.5)*前提!$B$6*3600</f>
        <v>99.864</v>
      </c>
      <c r="AF7" s="26" t="n">
        <f aca="false">IF(26&gt;=前提!$B$8,$E7,$D7)*(前提!$B$44*1+前提!$B$45*0.5)*前提!$B$6*3600</f>
        <v>99.864</v>
      </c>
      <c r="AG7" s="26" t="n">
        <f aca="false">IF(27&gt;=前提!$B$8,$E7,$D7)*(前提!$B$44*1+前提!$B$45*0.5)*前提!$B$6*3600</f>
        <v>99.864</v>
      </c>
      <c r="AH7" s="26" t="n">
        <f aca="false">IF(28&gt;=前提!$B$8,$E7,$D7)*(前提!$B$44*1+前提!$B$45*0.5)*前提!$B$6*3600</f>
        <v>99.864</v>
      </c>
      <c r="AI7" s="26" t="n">
        <f aca="false">IF(29&gt;=前提!$B$8,$E7,$D7)*(前提!$B$44*1+前提!$B$45*0.5)*前提!$B$6*3600</f>
        <v>99.864</v>
      </c>
      <c r="AJ7" s="26" t="n">
        <f aca="false">IF(30&gt;=前提!$B$8,$E7,$D7)*(前提!$B$44*1+前提!$B$45*0.5)*前提!$B$6*3600</f>
        <v>99.864</v>
      </c>
      <c r="AK7" s="26" t="n">
        <f aca="false">IF(31&gt;=前提!$B$8,$E7,$D7)*(前提!$B$44*1+前提!$B$45*0.5)*前提!$B$6*3600</f>
        <v>99.864</v>
      </c>
      <c r="AL7" s="26" t="n">
        <f aca="false">IF(32&gt;=前提!$B$8,$E7,$D7)*(前提!$B$44*1+前提!$B$45*0.5)*前提!$B$6*3600</f>
        <v>99.864</v>
      </c>
      <c r="AM7" s="26" t="n">
        <f aca="false">IF(33&gt;=前提!$B$8,$E7,$D7)*(前提!$B$44*1+前提!$B$45*0.5)*前提!$B$6*3600</f>
        <v>99.864</v>
      </c>
      <c r="AN7" s="26" t="n">
        <f aca="false">IF(34&gt;=前提!$B$8,$E7,$D7)*(前提!$B$44*1+前提!$B$45*0.5)*前提!$B$6*3600</f>
        <v>99.864</v>
      </c>
      <c r="AO7" s="26" t="n">
        <f aca="false">IF(35&gt;=前提!$B$8,$E7,$D7)*(前提!$B$44*1+前提!$B$45*0.5)*前提!$B$6*3600</f>
        <v>99.864</v>
      </c>
      <c r="AP7" s="26" t="n">
        <f aca="false">IF(36&gt;=前提!$B$8,$E7,$D7)*(前提!$B$44*1+前提!$B$45*0.5)*前提!$B$6*3600</f>
        <v>99.864</v>
      </c>
      <c r="AQ7" s="27" t="n">
        <f aca="false">SUM(G7:R7)</f>
        <v>599.184</v>
      </c>
      <c r="AR7" s="27" t="n">
        <f aca="false">SUM(S7:AD7)</f>
        <v>1198.368</v>
      </c>
      <c r="AS7" s="27" t="n">
        <f aca="false">SUM(AE7:AP7)</f>
        <v>1198.368</v>
      </c>
      <c r="AT7" s="27" t="n">
        <f aca="false">SUM(G7:AP7)</f>
        <v>2995.92</v>
      </c>
    </row>
    <row r="8" customFormat="false" ht="15" hidden="false" customHeight="false" outlineLevel="0" collapsed="false">
      <c r="A8" s="5" t="s">
        <v>215</v>
      </c>
      <c r="B8" s="15" t="s">
        <v>256</v>
      </c>
      <c r="C8" s="2" t="s">
        <v>220</v>
      </c>
      <c r="D8" s="14" t="n">
        <v>18</v>
      </c>
      <c r="E8" s="14" t="n">
        <v>40</v>
      </c>
      <c r="F8" s="15" t="s">
        <v>221</v>
      </c>
      <c r="G8" s="26" t="n">
        <f aca="false">IF(1&gt;=前提!$B$8,$E8,$D8)</f>
        <v>18</v>
      </c>
      <c r="H8" s="26" t="n">
        <f aca="false">IF(2&gt;=前提!$B$8,$E8,$D8)</f>
        <v>18</v>
      </c>
      <c r="I8" s="26" t="n">
        <f aca="false">IF(3&gt;=前提!$B$8,$E8,$D8)</f>
        <v>18</v>
      </c>
      <c r="J8" s="26" t="n">
        <f aca="false">IF(4&gt;=前提!$B$8,$E8,$D8)</f>
        <v>18</v>
      </c>
      <c r="K8" s="26" t="n">
        <f aca="false">IF(5&gt;=前提!$B$8,$E8,$D8)</f>
        <v>18</v>
      </c>
      <c r="L8" s="26" t="n">
        <f aca="false">IF(6&gt;=前提!$B$8,$E8,$D8)</f>
        <v>18</v>
      </c>
      <c r="M8" s="26" t="n">
        <f aca="false">IF(7&gt;=前提!$B$8,$E8,$D8)</f>
        <v>18</v>
      </c>
      <c r="N8" s="26" t="n">
        <f aca="false">IF(8&gt;=前提!$B$8,$E8,$D8)</f>
        <v>18</v>
      </c>
      <c r="O8" s="26" t="n">
        <f aca="false">IF(9&gt;=前提!$B$8,$E8,$D8)</f>
        <v>18</v>
      </c>
      <c r="P8" s="26" t="n">
        <f aca="false">IF(10&gt;=前提!$B$8,$E8,$D8)</f>
        <v>18</v>
      </c>
      <c r="Q8" s="26" t="n">
        <f aca="false">IF(11&gt;=前提!$B$8,$E8,$D8)</f>
        <v>18</v>
      </c>
      <c r="R8" s="26" t="n">
        <f aca="false">IF(12&gt;=前提!$B$8,$E8,$D8)</f>
        <v>18</v>
      </c>
      <c r="S8" s="26" t="n">
        <f aca="false">IF(13&gt;=前提!$B$8,$E8,$D8)</f>
        <v>40</v>
      </c>
      <c r="T8" s="26" t="n">
        <f aca="false">IF(14&gt;=前提!$B$8,$E8,$D8)</f>
        <v>40</v>
      </c>
      <c r="U8" s="26" t="n">
        <f aca="false">IF(15&gt;=前提!$B$8,$E8,$D8)</f>
        <v>40</v>
      </c>
      <c r="V8" s="26" t="n">
        <f aca="false">IF(16&gt;=前提!$B$8,$E8,$D8)</f>
        <v>40</v>
      </c>
      <c r="W8" s="26" t="n">
        <f aca="false">IF(17&gt;=前提!$B$8,$E8,$D8)</f>
        <v>40</v>
      </c>
      <c r="X8" s="26" t="n">
        <f aca="false">IF(18&gt;=前提!$B$8,$E8,$D8)</f>
        <v>40</v>
      </c>
      <c r="Y8" s="26" t="n">
        <f aca="false">IF(19&gt;=前提!$B$8,$E8,$D8)</f>
        <v>40</v>
      </c>
      <c r="Z8" s="26" t="n">
        <f aca="false">IF(20&gt;=前提!$B$8,$E8,$D8)</f>
        <v>40</v>
      </c>
      <c r="AA8" s="26" t="n">
        <f aca="false">IF(21&gt;=前提!$B$8,$E8,$D8)</f>
        <v>40</v>
      </c>
      <c r="AB8" s="26" t="n">
        <f aca="false">IF(22&gt;=前提!$B$8,$E8,$D8)</f>
        <v>40</v>
      </c>
      <c r="AC8" s="26" t="n">
        <f aca="false">IF(23&gt;=前提!$B$8,$E8,$D8)</f>
        <v>40</v>
      </c>
      <c r="AD8" s="26" t="n">
        <f aca="false">IF(24&gt;=前提!$B$8,$E8,$D8)</f>
        <v>40</v>
      </c>
      <c r="AE8" s="26" t="n">
        <f aca="false">IF(25&gt;=前提!$B$8,$E8,$D8)</f>
        <v>40</v>
      </c>
      <c r="AF8" s="26" t="n">
        <f aca="false">IF(26&gt;=前提!$B$8,$E8,$D8)</f>
        <v>40</v>
      </c>
      <c r="AG8" s="26" t="n">
        <f aca="false">IF(27&gt;=前提!$B$8,$E8,$D8)</f>
        <v>40</v>
      </c>
      <c r="AH8" s="26" t="n">
        <f aca="false">IF(28&gt;=前提!$B$8,$E8,$D8)</f>
        <v>40</v>
      </c>
      <c r="AI8" s="26" t="n">
        <f aca="false">IF(29&gt;=前提!$B$8,$E8,$D8)</f>
        <v>40</v>
      </c>
      <c r="AJ8" s="26" t="n">
        <f aca="false">IF(30&gt;=前提!$B$8,$E8,$D8)</f>
        <v>40</v>
      </c>
      <c r="AK8" s="26" t="n">
        <f aca="false">IF(31&gt;=前提!$B$8,$E8,$D8)</f>
        <v>40</v>
      </c>
      <c r="AL8" s="26" t="n">
        <f aca="false">IF(32&gt;=前提!$B$8,$E8,$D8)</f>
        <v>40</v>
      </c>
      <c r="AM8" s="26" t="n">
        <f aca="false">IF(33&gt;=前提!$B$8,$E8,$D8)</f>
        <v>40</v>
      </c>
      <c r="AN8" s="26" t="n">
        <f aca="false">IF(34&gt;=前提!$B$8,$E8,$D8)</f>
        <v>40</v>
      </c>
      <c r="AO8" s="26" t="n">
        <f aca="false">IF(35&gt;=前提!$B$8,$E8,$D8)</f>
        <v>40</v>
      </c>
      <c r="AP8" s="26" t="n">
        <f aca="false">IF(36&gt;=前提!$B$8,$E8,$D8)</f>
        <v>40</v>
      </c>
      <c r="AQ8" s="27" t="n">
        <f aca="false">SUM(G8:R8)</f>
        <v>216</v>
      </c>
      <c r="AR8" s="27" t="n">
        <f aca="false">SUM(S8:AD8)</f>
        <v>480</v>
      </c>
      <c r="AS8" s="27" t="n">
        <f aca="false">SUM(AE8:AP8)</f>
        <v>480</v>
      </c>
      <c r="AT8" s="27" t="n">
        <f aca="false">SUM(G8:AP8)</f>
        <v>1176</v>
      </c>
    </row>
    <row r="9" customFormat="false" ht="15" hidden="false" customHeight="false" outlineLevel="0" collapsed="false">
      <c r="A9" s="5" t="s">
        <v>215</v>
      </c>
      <c r="B9" s="15" t="s">
        <v>257</v>
      </c>
      <c r="C9" s="2" t="s">
        <v>258</v>
      </c>
      <c r="D9" s="14" t="n">
        <v>15</v>
      </c>
      <c r="E9" s="14" t="n">
        <v>30</v>
      </c>
      <c r="F9" s="15" t="s">
        <v>221</v>
      </c>
      <c r="G9" s="26" t="n">
        <f aca="false">IF(1&gt;=前提!$B$8,$E9,$D9)</f>
        <v>15</v>
      </c>
      <c r="H9" s="26" t="n">
        <f aca="false">IF(2&gt;=前提!$B$8,$E9,$D9)</f>
        <v>15</v>
      </c>
      <c r="I9" s="26" t="n">
        <f aca="false">IF(3&gt;=前提!$B$8,$E9,$D9)</f>
        <v>15</v>
      </c>
      <c r="J9" s="26" t="n">
        <f aca="false">IF(4&gt;=前提!$B$8,$E9,$D9)</f>
        <v>15</v>
      </c>
      <c r="K9" s="26" t="n">
        <f aca="false">IF(5&gt;=前提!$B$8,$E9,$D9)</f>
        <v>15</v>
      </c>
      <c r="L9" s="26" t="n">
        <f aca="false">IF(6&gt;=前提!$B$8,$E9,$D9)</f>
        <v>15</v>
      </c>
      <c r="M9" s="26" t="n">
        <f aca="false">IF(7&gt;=前提!$B$8,$E9,$D9)</f>
        <v>15</v>
      </c>
      <c r="N9" s="26" t="n">
        <f aca="false">IF(8&gt;=前提!$B$8,$E9,$D9)</f>
        <v>15</v>
      </c>
      <c r="O9" s="26" t="n">
        <f aca="false">IF(9&gt;=前提!$B$8,$E9,$D9)</f>
        <v>15</v>
      </c>
      <c r="P9" s="26" t="n">
        <f aca="false">IF(10&gt;=前提!$B$8,$E9,$D9)</f>
        <v>15</v>
      </c>
      <c r="Q9" s="26" t="n">
        <f aca="false">IF(11&gt;=前提!$B$8,$E9,$D9)</f>
        <v>15</v>
      </c>
      <c r="R9" s="26" t="n">
        <f aca="false">IF(12&gt;=前提!$B$8,$E9,$D9)</f>
        <v>15</v>
      </c>
      <c r="S9" s="26" t="n">
        <f aca="false">IF(13&gt;=前提!$B$8,$E9,$D9)</f>
        <v>30</v>
      </c>
      <c r="T9" s="26" t="n">
        <f aca="false">IF(14&gt;=前提!$B$8,$E9,$D9)</f>
        <v>30</v>
      </c>
      <c r="U9" s="26" t="n">
        <f aca="false">IF(15&gt;=前提!$B$8,$E9,$D9)</f>
        <v>30</v>
      </c>
      <c r="V9" s="26" t="n">
        <f aca="false">IF(16&gt;=前提!$B$8,$E9,$D9)</f>
        <v>30</v>
      </c>
      <c r="W9" s="26" t="n">
        <f aca="false">IF(17&gt;=前提!$B$8,$E9,$D9)</f>
        <v>30</v>
      </c>
      <c r="X9" s="26" t="n">
        <f aca="false">IF(18&gt;=前提!$B$8,$E9,$D9)</f>
        <v>30</v>
      </c>
      <c r="Y9" s="26" t="n">
        <f aca="false">IF(19&gt;=前提!$B$8,$E9,$D9)</f>
        <v>30</v>
      </c>
      <c r="Z9" s="26" t="n">
        <f aca="false">IF(20&gt;=前提!$B$8,$E9,$D9)</f>
        <v>30</v>
      </c>
      <c r="AA9" s="26" t="n">
        <f aca="false">IF(21&gt;=前提!$B$8,$E9,$D9)</f>
        <v>30</v>
      </c>
      <c r="AB9" s="26" t="n">
        <f aca="false">IF(22&gt;=前提!$B$8,$E9,$D9)</f>
        <v>30</v>
      </c>
      <c r="AC9" s="26" t="n">
        <f aca="false">IF(23&gt;=前提!$B$8,$E9,$D9)</f>
        <v>30</v>
      </c>
      <c r="AD9" s="26" t="n">
        <f aca="false">IF(24&gt;=前提!$B$8,$E9,$D9)</f>
        <v>30</v>
      </c>
      <c r="AE9" s="26" t="n">
        <f aca="false">IF(25&gt;=前提!$B$8,$E9,$D9)</f>
        <v>30</v>
      </c>
      <c r="AF9" s="26" t="n">
        <f aca="false">IF(26&gt;=前提!$B$8,$E9,$D9)</f>
        <v>30</v>
      </c>
      <c r="AG9" s="26" t="n">
        <f aca="false">IF(27&gt;=前提!$B$8,$E9,$D9)</f>
        <v>30</v>
      </c>
      <c r="AH9" s="26" t="n">
        <f aca="false">IF(28&gt;=前提!$B$8,$E9,$D9)</f>
        <v>30</v>
      </c>
      <c r="AI9" s="26" t="n">
        <f aca="false">IF(29&gt;=前提!$B$8,$E9,$D9)</f>
        <v>30</v>
      </c>
      <c r="AJ9" s="26" t="n">
        <f aca="false">IF(30&gt;=前提!$B$8,$E9,$D9)</f>
        <v>30</v>
      </c>
      <c r="AK9" s="26" t="n">
        <f aca="false">IF(31&gt;=前提!$B$8,$E9,$D9)</f>
        <v>30</v>
      </c>
      <c r="AL9" s="26" t="n">
        <f aca="false">IF(32&gt;=前提!$B$8,$E9,$D9)</f>
        <v>30</v>
      </c>
      <c r="AM9" s="26" t="n">
        <f aca="false">IF(33&gt;=前提!$B$8,$E9,$D9)</f>
        <v>30</v>
      </c>
      <c r="AN9" s="26" t="n">
        <f aca="false">IF(34&gt;=前提!$B$8,$E9,$D9)</f>
        <v>30</v>
      </c>
      <c r="AO9" s="26" t="n">
        <f aca="false">IF(35&gt;=前提!$B$8,$E9,$D9)</f>
        <v>30</v>
      </c>
      <c r="AP9" s="26" t="n">
        <f aca="false">IF(36&gt;=前提!$B$8,$E9,$D9)</f>
        <v>30</v>
      </c>
      <c r="AQ9" s="27" t="n">
        <f aca="false">SUM(G9:R9)</f>
        <v>180</v>
      </c>
      <c r="AR9" s="27" t="n">
        <f aca="false">SUM(S9:AD9)</f>
        <v>360</v>
      </c>
      <c r="AS9" s="27" t="n">
        <f aca="false">SUM(AE9:AP9)</f>
        <v>360</v>
      </c>
      <c r="AT9" s="27" t="n">
        <f aca="false">SUM(G9:AP9)</f>
        <v>900</v>
      </c>
    </row>
    <row r="10" customFormat="false" ht="15" hidden="false" customHeight="false" outlineLevel="0" collapsed="false">
      <c r="A10" s="5" t="s">
        <v>224</v>
      </c>
      <c r="B10" s="15" t="s">
        <v>225</v>
      </c>
      <c r="C10" s="7" t="s">
        <v>226</v>
      </c>
      <c r="D10" s="14" t="n">
        <v>2</v>
      </c>
      <c r="E10" s="14" t="n">
        <v>8</v>
      </c>
      <c r="F10" s="15" t="s">
        <v>227</v>
      </c>
      <c r="G10" s="26" t="n">
        <f aca="false">IF(1&gt;=前提!$B$8,$E10,$D10)*前提!$B$46</f>
        <v>131.4</v>
      </c>
      <c r="H10" s="26" t="n">
        <f aca="false">IF(2&gt;=前提!$B$8,$E10,$D10)*前提!$B$46</f>
        <v>131.4</v>
      </c>
      <c r="I10" s="26" t="n">
        <f aca="false">IF(3&gt;=前提!$B$8,$E10,$D10)*前提!$B$46</f>
        <v>131.4</v>
      </c>
      <c r="J10" s="26" t="n">
        <f aca="false">IF(4&gt;=前提!$B$8,$E10,$D10)*前提!$B$46</f>
        <v>131.4</v>
      </c>
      <c r="K10" s="26" t="n">
        <f aca="false">IF(5&gt;=前提!$B$8,$E10,$D10)*前提!$B$46</f>
        <v>131.4</v>
      </c>
      <c r="L10" s="26" t="n">
        <f aca="false">IF(6&gt;=前提!$B$8,$E10,$D10)*前提!$B$46</f>
        <v>131.4</v>
      </c>
      <c r="M10" s="26" t="n">
        <f aca="false">IF(7&gt;=前提!$B$8,$E10,$D10)*前提!$B$46</f>
        <v>131.4</v>
      </c>
      <c r="N10" s="26" t="n">
        <f aca="false">IF(8&gt;=前提!$B$8,$E10,$D10)*前提!$B$46</f>
        <v>131.4</v>
      </c>
      <c r="O10" s="26" t="n">
        <f aca="false">IF(9&gt;=前提!$B$8,$E10,$D10)*前提!$B$46</f>
        <v>131.4</v>
      </c>
      <c r="P10" s="26" t="n">
        <f aca="false">IF(10&gt;=前提!$B$8,$E10,$D10)*前提!$B$46</f>
        <v>131.4</v>
      </c>
      <c r="Q10" s="26" t="n">
        <f aca="false">IF(11&gt;=前提!$B$8,$E10,$D10)*前提!$B$46</f>
        <v>131.4</v>
      </c>
      <c r="R10" s="26" t="n">
        <f aca="false">IF(12&gt;=前提!$B$8,$E10,$D10)*前提!$B$46</f>
        <v>131.4</v>
      </c>
      <c r="S10" s="26" t="n">
        <f aca="false">IF(13&gt;=前提!$B$8,$E10,$D10)*前提!$B$46</f>
        <v>525.6</v>
      </c>
      <c r="T10" s="26" t="n">
        <f aca="false">IF(14&gt;=前提!$B$8,$E10,$D10)*前提!$B$46</f>
        <v>525.6</v>
      </c>
      <c r="U10" s="26" t="n">
        <f aca="false">IF(15&gt;=前提!$B$8,$E10,$D10)*前提!$B$46</f>
        <v>525.6</v>
      </c>
      <c r="V10" s="26" t="n">
        <f aca="false">IF(16&gt;=前提!$B$8,$E10,$D10)*前提!$B$46</f>
        <v>525.6</v>
      </c>
      <c r="W10" s="26" t="n">
        <f aca="false">IF(17&gt;=前提!$B$8,$E10,$D10)*前提!$B$46</f>
        <v>525.6</v>
      </c>
      <c r="X10" s="26" t="n">
        <f aca="false">IF(18&gt;=前提!$B$8,$E10,$D10)*前提!$B$46</f>
        <v>525.6</v>
      </c>
      <c r="Y10" s="26" t="n">
        <f aca="false">IF(19&gt;=前提!$B$8,$E10,$D10)*前提!$B$46</f>
        <v>525.6</v>
      </c>
      <c r="Z10" s="26" t="n">
        <f aca="false">IF(20&gt;=前提!$B$8,$E10,$D10)*前提!$B$46</f>
        <v>525.6</v>
      </c>
      <c r="AA10" s="26" t="n">
        <f aca="false">IF(21&gt;=前提!$B$8,$E10,$D10)*前提!$B$46</f>
        <v>525.6</v>
      </c>
      <c r="AB10" s="26" t="n">
        <f aca="false">IF(22&gt;=前提!$B$8,$E10,$D10)*前提!$B$46</f>
        <v>525.6</v>
      </c>
      <c r="AC10" s="26" t="n">
        <f aca="false">IF(23&gt;=前提!$B$8,$E10,$D10)*前提!$B$46</f>
        <v>525.6</v>
      </c>
      <c r="AD10" s="26" t="n">
        <f aca="false">IF(24&gt;=前提!$B$8,$E10,$D10)*前提!$B$46</f>
        <v>525.6</v>
      </c>
      <c r="AE10" s="26" t="n">
        <f aca="false">IF(25&gt;=前提!$B$8,$E10,$D10)*前提!$B$46</f>
        <v>525.6</v>
      </c>
      <c r="AF10" s="26" t="n">
        <f aca="false">IF(26&gt;=前提!$B$8,$E10,$D10)*前提!$B$46</f>
        <v>525.6</v>
      </c>
      <c r="AG10" s="26" t="n">
        <f aca="false">IF(27&gt;=前提!$B$8,$E10,$D10)*前提!$B$46</f>
        <v>525.6</v>
      </c>
      <c r="AH10" s="26" t="n">
        <f aca="false">IF(28&gt;=前提!$B$8,$E10,$D10)*前提!$B$46</f>
        <v>525.6</v>
      </c>
      <c r="AI10" s="26" t="n">
        <f aca="false">IF(29&gt;=前提!$B$8,$E10,$D10)*前提!$B$46</f>
        <v>525.6</v>
      </c>
      <c r="AJ10" s="26" t="n">
        <f aca="false">IF(30&gt;=前提!$B$8,$E10,$D10)*前提!$B$46</f>
        <v>525.6</v>
      </c>
      <c r="AK10" s="26" t="n">
        <f aca="false">IF(31&gt;=前提!$B$8,$E10,$D10)*前提!$B$46</f>
        <v>525.6</v>
      </c>
      <c r="AL10" s="26" t="n">
        <f aca="false">IF(32&gt;=前提!$B$8,$E10,$D10)*前提!$B$46</f>
        <v>525.6</v>
      </c>
      <c r="AM10" s="26" t="n">
        <f aca="false">IF(33&gt;=前提!$B$8,$E10,$D10)*前提!$B$46</f>
        <v>525.6</v>
      </c>
      <c r="AN10" s="26" t="n">
        <f aca="false">IF(34&gt;=前提!$B$8,$E10,$D10)*前提!$B$46</f>
        <v>525.6</v>
      </c>
      <c r="AO10" s="26" t="n">
        <f aca="false">IF(35&gt;=前提!$B$8,$E10,$D10)*前提!$B$46</f>
        <v>525.6</v>
      </c>
      <c r="AP10" s="26" t="n">
        <f aca="false">IF(36&gt;=前提!$B$8,$E10,$D10)*前提!$B$46</f>
        <v>525.6</v>
      </c>
      <c r="AQ10" s="27" t="n">
        <f aca="false">SUM(G10:R10)</f>
        <v>1576.8</v>
      </c>
      <c r="AR10" s="27" t="n">
        <f aca="false">SUM(S10:AD10)</f>
        <v>6307.2</v>
      </c>
      <c r="AS10" s="27" t="n">
        <f aca="false">SUM(AE10:AP10)</f>
        <v>6307.2</v>
      </c>
      <c r="AT10" s="27" t="n">
        <f aca="false">SUM(G10:AP10)</f>
        <v>14191.2</v>
      </c>
    </row>
    <row r="11" customFormat="false" ht="15" hidden="false" customHeight="false" outlineLevel="0" collapsed="false">
      <c r="A11" s="5" t="s">
        <v>228</v>
      </c>
      <c r="B11" s="15" t="s">
        <v>259</v>
      </c>
      <c r="C11" s="2" t="s">
        <v>220</v>
      </c>
      <c r="D11" s="14" t="n">
        <v>3</v>
      </c>
      <c r="E11" s="14" t="n">
        <v>30</v>
      </c>
      <c r="F11" s="15" t="s">
        <v>221</v>
      </c>
      <c r="G11" s="26" t="n">
        <f aca="false">IF(1&gt;=前提!$B$8,$E11,$D11)</f>
        <v>3</v>
      </c>
      <c r="H11" s="26" t="n">
        <f aca="false">IF(2&gt;=前提!$B$8,$E11,$D11)</f>
        <v>3</v>
      </c>
      <c r="I11" s="26" t="n">
        <f aca="false">IF(3&gt;=前提!$B$8,$E11,$D11)</f>
        <v>3</v>
      </c>
      <c r="J11" s="26" t="n">
        <f aca="false">IF(4&gt;=前提!$B$8,$E11,$D11)</f>
        <v>3</v>
      </c>
      <c r="K11" s="26" t="n">
        <f aca="false">IF(5&gt;=前提!$B$8,$E11,$D11)</f>
        <v>3</v>
      </c>
      <c r="L11" s="26" t="n">
        <f aca="false">IF(6&gt;=前提!$B$8,$E11,$D11)</f>
        <v>3</v>
      </c>
      <c r="M11" s="26" t="n">
        <f aca="false">IF(7&gt;=前提!$B$8,$E11,$D11)</f>
        <v>3</v>
      </c>
      <c r="N11" s="26" t="n">
        <f aca="false">IF(8&gt;=前提!$B$8,$E11,$D11)</f>
        <v>3</v>
      </c>
      <c r="O11" s="26" t="n">
        <f aca="false">IF(9&gt;=前提!$B$8,$E11,$D11)</f>
        <v>3</v>
      </c>
      <c r="P11" s="26" t="n">
        <f aca="false">IF(10&gt;=前提!$B$8,$E11,$D11)</f>
        <v>3</v>
      </c>
      <c r="Q11" s="26" t="n">
        <f aca="false">IF(11&gt;=前提!$B$8,$E11,$D11)</f>
        <v>3</v>
      </c>
      <c r="R11" s="26" t="n">
        <f aca="false">IF(12&gt;=前提!$B$8,$E11,$D11)</f>
        <v>3</v>
      </c>
      <c r="S11" s="26" t="n">
        <f aca="false">IF(13&gt;=前提!$B$8,$E11,$D11)</f>
        <v>30</v>
      </c>
      <c r="T11" s="26" t="n">
        <f aca="false">IF(14&gt;=前提!$B$8,$E11,$D11)</f>
        <v>30</v>
      </c>
      <c r="U11" s="26" t="n">
        <f aca="false">IF(15&gt;=前提!$B$8,$E11,$D11)</f>
        <v>30</v>
      </c>
      <c r="V11" s="26" t="n">
        <f aca="false">IF(16&gt;=前提!$B$8,$E11,$D11)</f>
        <v>30</v>
      </c>
      <c r="W11" s="26" t="n">
        <f aca="false">IF(17&gt;=前提!$B$8,$E11,$D11)</f>
        <v>30</v>
      </c>
      <c r="X11" s="26" t="n">
        <f aca="false">IF(18&gt;=前提!$B$8,$E11,$D11)</f>
        <v>30</v>
      </c>
      <c r="Y11" s="26" t="n">
        <f aca="false">IF(19&gt;=前提!$B$8,$E11,$D11)</f>
        <v>30</v>
      </c>
      <c r="Z11" s="26" t="n">
        <f aca="false">IF(20&gt;=前提!$B$8,$E11,$D11)</f>
        <v>30</v>
      </c>
      <c r="AA11" s="26" t="n">
        <f aca="false">IF(21&gt;=前提!$B$8,$E11,$D11)</f>
        <v>30</v>
      </c>
      <c r="AB11" s="26" t="n">
        <f aca="false">IF(22&gt;=前提!$B$8,$E11,$D11)</f>
        <v>30</v>
      </c>
      <c r="AC11" s="26" t="n">
        <f aca="false">IF(23&gt;=前提!$B$8,$E11,$D11)</f>
        <v>30</v>
      </c>
      <c r="AD11" s="26" t="n">
        <f aca="false">IF(24&gt;=前提!$B$8,$E11,$D11)</f>
        <v>30</v>
      </c>
      <c r="AE11" s="26" t="n">
        <f aca="false">IF(25&gt;=前提!$B$8,$E11,$D11)</f>
        <v>30</v>
      </c>
      <c r="AF11" s="26" t="n">
        <f aca="false">IF(26&gt;=前提!$B$8,$E11,$D11)</f>
        <v>30</v>
      </c>
      <c r="AG11" s="26" t="n">
        <f aca="false">IF(27&gt;=前提!$B$8,$E11,$D11)</f>
        <v>30</v>
      </c>
      <c r="AH11" s="26" t="n">
        <f aca="false">IF(28&gt;=前提!$B$8,$E11,$D11)</f>
        <v>30</v>
      </c>
      <c r="AI11" s="26" t="n">
        <f aca="false">IF(29&gt;=前提!$B$8,$E11,$D11)</f>
        <v>30</v>
      </c>
      <c r="AJ11" s="26" t="n">
        <f aca="false">IF(30&gt;=前提!$B$8,$E11,$D11)</f>
        <v>30</v>
      </c>
      <c r="AK11" s="26" t="n">
        <f aca="false">IF(31&gt;=前提!$B$8,$E11,$D11)</f>
        <v>30</v>
      </c>
      <c r="AL11" s="26" t="n">
        <f aca="false">IF(32&gt;=前提!$B$8,$E11,$D11)</f>
        <v>30</v>
      </c>
      <c r="AM11" s="26" t="n">
        <f aca="false">IF(33&gt;=前提!$B$8,$E11,$D11)</f>
        <v>30</v>
      </c>
      <c r="AN11" s="26" t="n">
        <f aca="false">IF(34&gt;=前提!$B$8,$E11,$D11)</f>
        <v>30</v>
      </c>
      <c r="AO11" s="26" t="n">
        <f aca="false">IF(35&gt;=前提!$B$8,$E11,$D11)</f>
        <v>30</v>
      </c>
      <c r="AP11" s="26" t="n">
        <f aca="false">IF(36&gt;=前提!$B$8,$E11,$D11)</f>
        <v>30</v>
      </c>
      <c r="AQ11" s="27" t="n">
        <f aca="false">SUM(G11:R11)</f>
        <v>36</v>
      </c>
      <c r="AR11" s="27" t="n">
        <f aca="false">SUM(S11:AD11)</f>
        <v>360</v>
      </c>
      <c r="AS11" s="27" t="n">
        <f aca="false">SUM(AE11:AP11)</f>
        <v>360</v>
      </c>
      <c r="AT11" s="27" t="n">
        <f aca="false">SUM(G11:AP11)</f>
        <v>756</v>
      </c>
    </row>
    <row r="12" customFormat="false" ht="15" hidden="false" customHeight="false" outlineLevel="0" collapsed="false">
      <c r="A12" s="5" t="s">
        <v>230</v>
      </c>
      <c r="B12" s="15" t="s">
        <v>260</v>
      </c>
      <c r="C12" s="2" t="s">
        <v>232</v>
      </c>
      <c r="D12" s="14" t="n">
        <v>6</v>
      </c>
      <c r="E12" s="14" t="n">
        <v>40</v>
      </c>
      <c r="F12" s="15" t="s">
        <v>221</v>
      </c>
      <c r="G12" s="26" t="n">
        <f aca="false">IF(1&gt;=前提!$B$8,$E12,$D12)</f>
        <v>6</v>
      </c>
      <c r="H12" s="26" t="n">
        <f aca="false">IF(2&gt;=前提!$B$8,$E12,$D12)</f>
        <v>6</v>
      </c>
      <c r="I12" s="26" t="n">
        <f aca="false">IF(3&gt;=前提!$B$8,$E12,$D12)</f>
        <v>6</v>
      </c>
      <c r="J12" s="26" t="n">
        <f aca="false">IF(4&gt;=前提!$B$8,$E12,$D12)</f>
        <v>6</v>
      </c>
      <c r="K12" s="26" t="n">
        <f aca="false">IF(5&gt;=前提!$B$8,$E12,$D12)</f>
        <v>6</v>
      </c>
      <c r="L12" s="26" t="n">
        <f aca="false">IF(6&gt;=前提!$B$8,$E12,$D12)</f>
        <v>6</v>
      </c>
      <c r="M12" s="26" t="n">
        <f aca="false">IF(7&gt;=前提!$B$8,$E12,$D12)</f>
        <v>6</v>
      </c>
      <c r="N12" s="26" t="n">
        <f aca="false">IF(8&gt;=前提!$B$8,$E12,$D12)</f>
        <v>6</v>
      </c>
      <c r="O12" s="26" t="n">
        <f aca="false">IF(9&gt;=前提!$B$8,$E12,$D12)</f>
        <v>6</v>
      </c>
      <c r="P12" s="26" t="n">
        <f aca="false">IF(10&gt;=前提!$B$8,$E12,$D12)</f>
        <v>6</v>
      </c>
      <c r="Q12" s="26" t="n">
        <f aca="false">IF(11&gt;=前提!$B$8,$E12,$D12)</f>
        <v>6</v>
      </c>
      <c r="R12" s="26" t="n">
        <f aca="false">IF(12&gt;=前提!$B$8,$E12,$D12)</f>
        <v>6</v>
      </c>
      <c r="S12" s="26" t="n">
        <f aca="false">IF(13&gt;=前提!$B$8,$E12,$D12)</f>
        <v>40</v>
      </c>
      <c r="T12" s="26" t="n">
        <f aca="false">IF(14&gt;=前提!$B$8,$E12,$D12)</f>
        <v>40</v>
      </c>
      <c r="U12" s="26" t="n">
        <f aca="false">IF(15&gt;=前提!$B$8,$E12,$D12)</f>
        <v>40</v>
      </c>
      <c r="V12" s="26" t="n">
        <f aca="false">IF(16&gt;=前提!$B$8,$E12,$D12)</f>
        <v>40</v>
      </c>
      <c r="W12" s="26" t="n">
        <f aca="false">IF(17&gt;=前提!$B$8,$E12,$D12)</f>
        <v>40</v>
      </c>
      <c r="X12" s="26" t="n">
        <f aca="false">IF(18&gt;=前提!$B$8,$E12,$D12)</f>
        <v>40</v>
      </c>
      <c r="Y12" s="26" t="n">
        <f aca="false">IF(19&gt;=前提!$B$8,$E12,$D12)</f>
        <v>40</v>
      </c>
      <c r="Z12" s="26" t="n">
        <f aca="false">IF(20&gt;=前提!$B$8,$E12,$D12)</f>
        <v>40</v>
      </c>
      <c r="AA12" s="26" t="n">
        <f aca="false">IF(21&gt;=前提!$B$8,$E12,$D12)</f>
        <v>40</v>
      </c>
      <c r="AB12" s="26" t="n">
        <f aca="false">IF(22&gt;=前提!$B$8,$E12,$D12)</f>
        <v>40</v>
      </c>
      <c r="AC12" s="26" t="n">
        <f aca="false">IF(23&gt;=前提!$B$8,$E12,$D12)</f>
        <v>40</v>
      </c>
      <c r="AD12" s="26" t="n">
        <f aca="false">IF(24&gt;=前提!$B$8,$E12,$D12)</f>
        <v>40</v>
      </c>
      <c r="AE12" s="26" t="n">
        <f aca="false">IF(25&gt;=前提!$B$8,$E12,$D12)</f>
        <v>40</v>
      </c>
      <c r="AF12" s="26" t="n">
        <f aca="false">IF(26&gt;=前提!$B$8,$E12,$D12)</f>
        <v>40</v>
      </c>
      <c r="AG12" s="26" t="n">
        <f aca="false">IF(27&gt;=前提!$B$8,$E12,$D12)</f>
        <v>40</v>
      </c>
      <c r="AH12" s="26" t="n">
        <f aca="false">IF(28&gt;=前提!$B$8,$E12,$D12)</f>
        <v>40</v>
      </c>
      <c r="AI12" s="26" t="n">
        <f aca="false">IF(29&gt;=前提!$B$8,$E12,$D12)</f>
        <v>40</v>
      </c>
      <c r="AJ12" s="26" t="n">
        <f aca="false">IF(30&gt;=前提!$B$8,$E12,$D12)</f>
        <v>40</v>
      </c>
      <c r="AK12" s="26" t="n">
        <f aca="false">IF(31&gt;=前提!$B$8,$E12,$D12)</f>
        <v>40</v>
      </c>
      <c r="AL12" s="26" t="n">
        <f aca="false">IF(32&gt;=前提!$B$8,$E12,$D12)</f>
        <v>40</v>
      </c>
      <c r="AM12" s="26" t="n">
        <f aca="false">IF(33&gt;=前提!$B$8,$E12,$D12)</f>
        <v>40</v>
      </c>
      <c r="AN12" s="26" t="n">
        <f aca="false">IF(34&gt;=前提!$B$8,$E12,$D12)</f>
        <v>40</v>
      </c>
      <c r="AO12" s="26" t="n">
        <f aca="false">IF(35&gt;=前提!$B$8,$E12,$D12)</f>
        <v>40</v>
      </c>
      <c r="AP12" s="26" t="n">
        <f aca="false">IF(36&gt;=前提!$B$8,$E12,$D12)</f>
        <v>40</v>
      </c>
      <c r="AQ12" s="27" t="n">
        <f aca="false">SUM(G12:R12)</f>
        <v>72</v>
      </c>
      <c r="AR12" s="27" t="n">
        <f aca="false">SUM(S12:AD12)</f>
        <v>480</v>
      </c>
      <c r="AS12" s="27" t="n">
        <f aca="false">SUM(AE12:AP12)</f>
        <v>480</v>
      </c>
      <c r="AT12" s="27" t="n">
        <f aca="false">SUM(G12:AP12)</f>
        <v>1032</v>
      </c>
    </row>
    <row r="13" customFormat="false" ht="15" hidden="false" customHeight="false" outlineLevel="0" collapsed="false">
      <c r="A13" s="5" t="s">
        <v>230</v>
      </c>
      <c r="B13" s="15" t="s">
        <v>261</v>
      </c>
      <c r="C13" s="2" t="s">
        <v>262</v>
      </c>
      <c r="D13" s="14" t="n">
        <v>0</v>
      </c>
      <c r="E13" s="14" t="n">
        <v>0</v>
      </c>
      <c r="F13" s="15" t="s">
        <v>221</v>
      </c>
      <c r="G13" s="26" t="n">
        <f aca="false">IF(1&gt;=前提!$B$8,$E13,$D13)</f>
        <v>0</v>
      </c>
      <c r="H13" s="26" t="n">
        <f aca="false">IF(2&gt;=前提!$B$8,$E13,$D13)</f>
        <v>0</v>
      </c>
      <c r="I13" s="26" t="n">
        <f aca="false">IF(3&gt;=前提!$B$8,$E13,$D13)</f>
        <v>0</v>
      </c>
      <c r="J13" s="26" t="n">
        <f aca="false">IF(4&gt;=前提!$B$8,$E13,$D13)</f>
        <v>0</v>
      </c>
      <c r="K13" s="26" t="n">
        <f aca="false">IF(5&gt;=前提!$B$8,$E13,$D13)</f>
        <v>0</v>
      </c>
      <c r="L13" s="26" t="n">
        <f aca="false">IF(6&gt;=前提!$B$8,$E13,$D13)</f>
        <v>0</v>
      </c>
      <c r="M13" s="26" t="n">
        <f aca="false">IF(7&gt;=前提!$B$8,$E13,$D13)</f>
        <v>0</v>
      </c>
      <c r="N13" s="26" t="n">
        <f aca="false">IF(8&gt;=前提!$B$8,$E13,$D13)</f>
        <v>0</v>
      </c>
      <c r="O13" s="26" t="n">
        <f aca="false">IF(9&gt;=前提!$B$8,$E13,$D13)</f>
        <v>0</v>
      </c>
      <c r="P13" s="26" t="n">
        <f aca="false">IF(10&gt;=前提!$B$8,$E13,$D13)</f>
        <v>0</v>
      </c>
      <c r="Q13" s="26" t="n">
        <f aca="false">IF(11&gt;=前提!$B$8,$E13,$D13)</f>
        <v>0</v>
      </c>
      <c r="R13" s="26" t="n">
        <f aca="false">IF(12&gt;=前提!$B$8,$E13,$D13)</f>
        <v>0</v>
      </c>
      <c r="S13" s="26" t="n">
        <f aca="false">IF(13&gt;=前提!$B$8,$E13,$D13)</f>
        <v>0</v>
      </c>
      <c r="T13" s="26" t="n">
        <f aca="false">IF(14&gt;=前提!$B$8,$E13,$D13)</f>
        <v>0</v>
      </c>
      <c r="U13" s="26" t="n">
        <f aca="false">IF(15&gt;=前提!$B$8,$E13,$D13)</f>
        <v>0</v>
      </c>
      <c r="V13" s="26" t="n">
        <f aca="false">IF(16&gt;=前提!$B$8,$E13,$D13)</f>
        <v>0</v>
      </c>
      <c r="W13" s="26" t="n">
        <f aca="false">IF(17&gt;=前提!$B$8,$E13,$D13)</f>
        <v>0</v>
      </c>
      <c r="X13" s="26" t="n">
        <f aca="false">IF(18&gt;=前提!$B$8,$E13,$D13)</f>
        <v>0</v>
      </c>
      <c r="Y13" s="26" t="n">
        <f aca="false">IF(19&gt;=前提!$B$8,$E13,$D13)</f>
        <v>0</v>
      </c>
      <c r="Z13" s="26" t="n">
        <f aca="false">IF(20&gt;=前提!$B$8,$E13,$D13)</f>
        <v>0</v>
      </c>
      <c r="AA13" s="26" t="n">
        <f aca="false">IF(21&gt;=前提!$B$8,$E13,$D13)</f>
        <v>0</v>
      </c>
      <c r="AB13" s="26" t="n">
        <f aca="false">IF(22&gt;=前提!$B$8,$E13,$D13)</f>
        <v>0</v>
      </c>
      <c r="AC13" s="26" t="n">
        <f aca="false">IF(23&gt;=前提!$B$8,$E13,$D13)</f>
        <v>0</v>
      </c>
      <c r="AD13" s="26" t="n">
        <f aca="false">IF(24&gt;=前提!$B$8,$E13,$D13)</f>
        <v>0</v>
      </c>
      <c r="AE13" s="26" t="n">
        <f aca="false">IF(25&gt;=前提!$B$8,$E13,$D13)</f>
        <v>0</v>
      </c>
      <c r="AF13" s="26" t="n">
        <f aca="false">IF(26&gt;=前提!$B$8,$E13,$D13)</f>
        <v>0</v>
      </c>
      <c r="AG13" s="26" t="n">
        <f aca="false">IF(27&gt;=前提!$B$8,$E13,$D13)</f>
        <v>0</v>
      </c>
      <c r="AH13" s="26" t="n">
        <f aca="false">IF(28&gt;=前提!$B$8,$E13,$D13)</f>
        <v>0</v>
      </c>
      <c r="AI13" s="26" t="n">
        <f aca="false">IF(29&gt;=前提!$B$8,$E13,$D13)</f>
        <v>0</v>
      </c>
      <c r="AJ13" s="26" t="n">
        <f aca="false">IF(30&gt;=前提!$B$8,$E13,$D13)</f>
        <v>0</v>
      </c>
      <c r="AK13" s="26" t="n">
        <f aca="false">IF(31&gt;=前提!$B$8,$E13,$D13)</f>
        <v>0</v>
      </c>
      <c r="AL13" s="26" t="n">
        <f aca="false">IF(32&gt;=前提!$B$8,$E13,$D13)</f>
        <v>0</v>
      </c>
      <c r="AM13" s="26" t="n">
        <f aca="false">IF(33&gt;=前提!$B$8,$E13,$D13)</f>
        <v>0</v>
      </c>
      <c r="AN13" s="26" t="n">
        <f aca="false">IF(34&gt;=前提!$B$8,$E13,$D13)</f>
        <v>0</v>
      </c>
      <c r="AO13" s="26" t="n">
        <f aca="false">IF(35&gt;=前提!$B$8,$E13,$D13)</f>
        <v>0</v>
      </c>
      <c r="AP13" s="26" t="n">
        <f aca="false">IF(36&gt;=前提!$B$8,$E13,$D13)</f>
        <v>0</v>
      </c>
      <c r="AQ13" s="27" t="n">
        <f aca="false">SUM(G13:R13)</f>
        <v>0</v>
      </c>
      <c r="AR13" s="27" t="n">
        <f aca="false">SUM(S13:AD13)</f>
        <v>0</v>
      </c>
      <c r="AS13" s="27" t="n">
        <f aca="false">SUM(AE13:AP13)</f>
        <v>0</v>
      </c>
      <c r="AT13" s="27" t="n">
        <f aca="false">SUM(G13:AP13)</f>
        <v>0</v>
      </c>
    </row>
    <row r="14" customFormat="false" ht="15" hidden="false" customHeight="false" outlineLevel="0" collapsed="false">
      <c r="A14" s="5" t="s">
        <v>230</v>
      </c>
      <c r="B14" s="15" t="s">
        <v>263</v>
      </c>
      <c r="C14" s="2" t="s">
        <v>220</v>
      </c>
      <c r="D14" s="14" t="n">
        <v>3</v>
      </c>
      <c r="E14" s="14" t="n">
        <v>8</v>
      </c>
      <c r="F14" s="15" t="s">
        <v>221</v>
      </c>
      <c r="G14" s="26" t="n">
        <f aca="false">IF(1&gt;=前提!$B$8,$E14,$D14)</f>
        <v>3</v>
      </c>
      <c r="H14" s="26" t="n">
        <f aca="false">IF(2&gt;=前提!$B$8,$E14,$D14)</f>
        <v>3</v>
      </c>
      <c r="I14" s="26" t="n">
        <f aca="false">IF(3&gt;=前提!$B$8,$E14,$D14)</f>
        <v>3</v>
      </c>
      <c r="J14" s="26" t="n">
        <f aca="false">IF(4&gt;=前提!$B$8,$E14,$D14)</f>
        <v>3</v>
      </c>
      <c r="K14" s="26" t="n">
        <f aca="false">IF(5&gt;=前提!$B$8,$E14,$D14)</f>
        <v>3</v>
      </c>
      <c r="L14" s="26" t="n">
        <f aca="false">IF(6&gt;=前提!$B$8,$E14,$D14)</f>
        <v>3</v>
      </c>
      <c r="M14" s="26" t="n">
        <f aca="false">IF(7&gt;=前提!$B$8,$E14,$D14)</f>
        <v>3</v>
      </c>
      <c r="N14" s="26" t="n">
        <f aca="false">IF(8&gt;=前提!$B$8,$E14,$D14)</f>
        <v>3</v>
      </c>
      <c r="O14" s="26" t="n">
        <f aca="false">IF(9&gt;=前提!$B$8,$E14,$D14)</f>
        <v>3</v>
      </c>
      <c r="P14" s="26" t="n">
        <f aca="false">IF(10&gt;=前提!$B$8,$E14,$D14)</f>
        <v>3</v>
      </c>
      <c r="Q14" s="26" t="n">
        <f aca="false">IF(11&gt;=前提!$B$8,$E14,$D14)</f>
        <v>3</v>
      </c>
      <c r="R14" s="26" t="n">
        <f aca="false">IF(12&gt;=前提!$B$8,$E14,$D14)</f>
        <v>3</v>
      </c>
      <c r="S14" s="26" t="n">
        <f aca="false">IF(13&gt;=前提!$B$8,$E14,$D14)</f>
        <v>8</v>
      </c>
      <c r="T14" s="26" t="n">
        <f aca="false">IF(14&gt;=前提!$B$8,$E14,$D14)</f>
        <v>8</v>
      </c>
      <c r="U14" s="26" t="n">
        <f aca="false">IF(15&gt;=前提!$B$8,$E14,$D14)</f>
        <v>8</v>
      </c>
      <c r="V14" s="26" t="n">
        <f aca="false">IF(16&gt;=前提!$B$8,$E14,$D14)</f>
        <v>8</v>
      </c>
      <c r="W14" s="26" t="n">
        <f aca="false">IF(17&gt;=前提!$B$8,$E14,$D14)</f>
        <v>8</v>
      </c>
      <c r="X14" s="26" t="n">
        <f aca="false">IF(18&gt;=前提!$B$8,$E14,$D14)</f>
        <v>8</v>
      </c>
      <c r="Y14" s="26" t="n">
        <f aca="false">IF(19&gt;=前提!$B$8,$E14,$D14)</f>
        <v>8</v>
      </c>
      <c r="Z14" s="26" t="n">
        <f aca="false">IF(20&gt;=前提!$B$8,$E14,$D14)</f>
        <v>8</v>
      </c>
      <c r="AA14" s="26" t="n">
        <f aca="false">IF(21&gt;=前提!$B$8,$E14,$D14)</f>
        <v>8</v>
      </c>
      <c r="AB14" s="26" t="n">
        <f aca="false">IF(22&gt;=前提!$B$8,$E14,$D14)</f>
        <v>8</v>
      </c>
      <c r="AC14" s="26" t="n">
        <f aca="false">IF(23&gt;=前提!$B$8,$E14,$D14)</f>
        <v>8</v>
      </c>
      <c r="AD14" s="26" t="n">
        <f aca="false">IF(24&gt;=前提!$B$8,$E14,$D14)</f>
        <v>8</v>
      </c>
      <c r="AE14" s="26" t="n">
        <f aca="false">IF(25&gt;=前提!$B$8,$E14,$D14)</f>
        <v>8</v>
      </c>
      <c r="AF14" s="26" t="n">
        <f aca="false">IF(26&gt;=前提!$B$8,$E14,$D14)</f>
        <v>8</v>
      </c>
      <c r="AG14" s="26" t="n">
        <f aca="false">IF(27&gt;=前提!$B$8,$E14,$D14)</f>
        <v>8</v>
      </c>
      <c r="AH14" s="26" t="n">
        <f aca="false">IF(28&gt;=前提!$B$8,$E14,$D14)</f>
        <v>8</v>
      </c>
      <c r="AI14" s="26" t="n">
        <f aca="false">IF(29&gt;=前提!$B$8,$E14,$D14)</f>
        <v>8</v>
      </c>
      <c r="AJ14" s="26" t="n">
        <f aca="false">IF(30&gt;=前提!$B$8,$E14,$D14)</f>
        <v>8</v>
      </c>
      <c r="AK14" s="26" t="n">
        <f aca="false">IF(31&gt;=前提!$B$8,$E14,$D14)</f>
        <v>8</v>
      </c>
      <c r="AL14" s="26" t="n">
        <f aca="false">IF(32&gt;=前提!$B$8,$E14,$D14)</f>
        <v>8</v>
      </c>
      <c r="AM14" s="26" t="n">
        <f aca="false">IF(33&gt;=前提!$B$8,$E14,$D14)</f>
        <v>8</v>
      </c>
      <c r="AN14" s="26" t="n">
        <f aca="false">IF(34&gt;=前提!$B$8,$E14,$D14)</f>
        <v>8</v>
      </c>
      <c r="AO14" s="26" t="n">
        <f aca="false">IF(35&gt;=前提!$B$8,$E14,$D14)</f>
        <v>8</v>
      </c>
      <c r="AP14" s="26" t="n">
        <f aca="false">IF(36&gt;=前提!$B$8,$E14,$D14)</f>
        <v>8</v>
      </c>
      <c r="AQ14" s="27" t="n">
        <f aca="false">SUM(G14:R14)</f>
        <v>36</v>
      </c>
      <c r="AR14" s="27" t="n">
        <f aca="false">SUM(S14:AD14)</f>
        <v>96</v>
      </c>
      <c r="AS14" s="27" t="n">
        <f aca="false">SUM(AE14:AP14)</f>
        <v>96</v>
      </c>
      <c r="AT14" s="27" t="n">
        <f aca="false">SUM(G14:AP14)</f>
        <v>228</v>
      </c>
    </row>
    <row r="15" customFormat="false" ht="15" hidden="false" customHeight="false" outlineLevel="0" collapsed="false">
      <c r="A15" s="5" t="s">
        <v>230</v>
      </c>
      <c r="B15" s="5" t="s">
        <v>264</v>
      </c>
      <c r="C15" s="2" t="s">
        <v>220</v>
      </c>
      <c r="D15" s="14" t="n">
        <v>2</v>
      </c>
      <c r="E15" s="14" t="n">
        <v>10</v>
      </c>
      <c r="F15" s="15" t="s">
        <v>221</v>
      </c>
      <c r="G15" s="26" t="n">
        <f aca="false">IF(1&gt;=前提!$B$8,$E15,$D15)</f>
        <v>2</v>
      </c>
      <c r="H15" s="26" t="n">
        <f aca="false">IF(2&gt;=前提!$B$8,$E15,$D15)</f>
        <v>2</v>
      </c>
      <c r="I15" s="26" t="n">
        <f aca="false">IF(3&gt;=前提!$B$8,$E15,$D15)</f>
        <v>2</v>
      </c>
      <c r="J15" s="26" t="n">
        <f aca="false">IF(4&gt;=前提!$B$8,$E15,$D15)</f>
        <v>2</v>
      </c>
      <c r="K15" s="26" t="n">
        <f aca="false">IF(5&gt;=前提!$B$8,$E15,$D15)</f>
        <v>2</v>
      </c>
      <c r="L15" s="26" t="n">
        <f aca="false">IF(6&gt;=前提!$B$8,$E15,$D15)</f>
        <v>2</v>
      </c>
      <c r="M15" s="26" t="n">
        <f aca="false">IF(7&gt;=前提!$B$8,$E15,$D15)</f>
        <v>2</v>
      </c>
      <c r="N15" s="26" t="n">
        <f aca="false">IF(8&gt;=前提!$B$8,$E15,$D15)</f>
        <v>2</v>
      </c>
      <c r="O15" s="26" t="n">
        <f aca="false">IF(9&gt;=前提!$B$8,$E15,$D15)</f>
        <v>2</v>
      </c>
      <c r="P15" s="26" t="n">
        <f aca="false">IF(10&gt;=前提!$B$8,$E15,$D15)</f>
        <v>2</v>
      </c>
      <c r="Q15" s="26" t="n">
        <f aca="false">IF(11&gt;=前提!$B$8,$E15,$D15)</f>
        <v>2</v>
      </c>
      <c r="R15" s="26" t="n">
        <f aca="false">IF(12&gt;=前提!$B$8,$E15,$D15)</f>
        <v>2</v>
      </c>
      <c r="S15" s="26" t="n">
        <f aca="false">IF(13&gt;=前提!$B$8,$E15,$D15)</f>
        <v>10</v>
      </c>
      <c r="T15" s="26" t="n">
        <f aca="false">IF(14&gt;=前提!$B$8,$E15,$D15)</f>
        <v>10</v>
      </c>
      <c r="U15" s="26" t="n">
        <f aca="false">IF(15&gt;=前提!$B$8,$E15,$D15)</f>
        <v>10</v>
      </c>
      <c r="V15" s="26" t="n">
        <f aca="false">IF(16&gt;=前提!$B$8,$E15,$D15)</f>
        <v>10</v>
      </c>
      <c r="W15" s="26" t="n">
        <f aca="false">IF(17&gt;=前提!$B$8,$E15,$D15)</f>
        <v>10</v>
      </c>
      <c r="X15" s="26" t="n">
        <f aca="false">IF(18&gt;=前提!$B$8,$E15,$D15)</f>
        <v>10</v>
      </c>
      <c r="Y15" s="26" t="n">
        <f aca="false">IF(19&gt;=前提!$B$8,$E15,$D15)</f>
        <v>10</v>
      </c>
      <c r="Z15" s="26" t="n">
        <f aca="false">IF(20&gt;=前提!$B$8,$E15,$D15)</f>
        <v>10</v>
      </c>
      <c r="AA15" s="26" t="n">
        <f aca="false">IF(21&gt;=前提!$B$8,$E15,$D15)</f>
        <v>10</v>
      </c>
      <c r="AB15" s="26" t="n">
        <f aca="false">IF(22&gt;=前提!$B$8,$E15,$D15)</f>
        <v>10</v>
      </c>
      <c r="AC15" s="26" t="n">
        <f aca="false">IF(23&gt;=前提!$B$8,$E15,$D15)</f>
        <v>10</v>
      </c>
      <c r="AD15" s="26" t="n">
        <f aca="false">IF(24&gt;=前提!$B$8,$E15,$D15)</f>
        <v>10</v>
      </c>
      <c r="AE15" s="26" t="n">
        <f aca="false">IF(25&gt;=前提!$B$8,$E15,$D15)</f>
        <v>10</v>
      </c>
      <c r="AF15" s="26" t="n">
        <f aca="false">IF(26&gt;=前提!$B$8,$E15,$D15)</f>
        <v>10</v>
      </c>
      <c r="AG15" s="26" t="n">
        <f aca="false">IF(27&gt;=前提!$B$8,$E15,$D15)</f>
        <v>10</v>
      </c>
      <c r="AH15" s="26" t="n">
        <f aca="false">IF(28&gt;=前提!$B$8,$E15,$D15)</f>
        <v>10</v>
      </c>
      <c r="AI15" s="26" t="n">
        <f aca="false">IF(29&gt;=前提!$B$8,$E15,$D15)</f>
        <v>10</v>
      </c>
      <c r="AJ15" s="26" t="n">
        <f aca="false">IF(30&gt;=前提!$B$8,$E15,$D15)</f>
        <v>10</v>
      </c>
      <c r="AK15" s="26" t="n">
        <f aca="false">IF(31&gt;=前提!$B$8,$E15,$D15)</f>
        <v>10</v>
      </c>
      <c r="AL15" s="26" t="n">
        <f aca="false">IF(32&gt;=前提!$B$8,$E15,$D15)</f>
        <v>10</v>
      </c>
      <c r="AM15" s="26" t="n">
        <f aca="false">IF(33&gt;=前提!$B$8,$E15,$D15)</f>
        <v>10</v>
      </c>
      <c r="AN15" s="26" t="n">
        <f aca="false">IF(34&gt;=前提!$B$8,$E15,$D15)</f>
        <v>10</v>
      </c>
      <c r="AO15" s="26" t="n">
        <f aca="false">IF(35&gt;=前提!$B$8,$E15,$D15)</f>
        <v>10</v>
      </c>
      <c r="AP15" s="26" t="n">
        <f aca="false">IF(36&gt;=前提!$B$8,$E15,$D15)</f>
        <v>10</v>
      </c>
      <c r="AQ15" s="27" t="n">
        <f aca="false">SUM(G15:R15)</f>
        <v>24</v>
      </c>
      <c r="AR15" s="27" t="n">
        <f aca="false">SUM(S15:AD15)</f>
        <v>120</v>
      </c>
      <c r="AS15" s="27" t="n">
        <f aca="false">SUM(AE15:AP15)</f>
        <v>120</v>
      </c>
      <c r="AT15" s="27" t="n">
        <f aca="false">SUM(G15:AP15)</f>
        <v>264</v>
      </c>
    </row>
    <row r="16" customFormat="false" ht="15" hidden="false" customHeight="false" outlineLevel="0" collapsed="false">
      <c r="A16" s="15" t="s">
        <v>237</v>
      </c>
      <c r="B16" s="15" t="s">
        <v>265</v>
      </c>
      <c r="C16" s="2" t="s">
        <v>239</v>
      </c>
      <c r="D16" s="14" t="n">
        <v>32</v>
      </c>
      <c r="E16" s="14" t="n">
        <v>300</v>
      </c>
      <c r="F16" s="15" t="s">
        <v>221</v>
      </c>
      <c r="G16" s="26" t="n">
        <f aca="false">IF(1&gt;=前提!$B$8,$E16,$D16)</f>
        <v>32</v>
      </c>
      <c r="H16" s="26" t="n">
        <f aca="false">IF(2&gt;=前提!$B$8,$E16,$D16)</f>
        <v>32</v>
      </c>
      <c r="I16" s="26" t="n">
        <f aca="false">IF(3&gt;=前提!$B$8,$E16,$D16)</f>
        <v>32</v>
      </c>
      <c r="J16" s="26" t="n">
        <f aca="false">IF(4&gt;=前提!$B$8,$E16,$D16)</f>
        <v>32</v>
      </c>
      <c r="K16" s="26" t="n">
        <f aca="false">IF(5&gt;=前提!$B$8,$E16,$D16)</f>
        <v>32</v>
      </c>
      <c r="L16" s="26" t="n">
        <f aca="false">IF(6&gt;=前提!$B$8,$E16,$D16)</f>
        <v>32</v>
      </c>
      <c r="M16" s="26" t="n">
        <f aca="false">IF(7&gt;=前提!$B$8,$E16,$D16)</f>
        <v>32</v>
      </c>
      <c r="N16" s="26" t="n">
        <f aca="false">IF(8&gt;=前提!$B$8,$E16,$D16)</f>
        <v>32</v>
      </c>
      <c r="O16" s="26" t="n">
        <f aca="false">IF(9&gt;=前提!$B$8,$E16,$D16)</f>
        <v>32</v>
      </c>
      <c r="P16" s="26" t="n">
        <f aca="false">IF(10&gt;=前提!$B$8,$E16,$D16)</f>
        <v>32</v>
      </c>
      <c r="Q16" s="26" t="n">
        <f aca="false">IF(11&gt;=前提!$B$8,$E16,$D16)</f>
        <v>32</v>
      </c>
      <c r="R16" s="26" t="n">
        <f aca="false">IF(12&gt;=前提!$B$8,$E16,$D16)</f>
        <v>32</v>
      </c>
      <c r="S16" s="26" t="n">
        <f aca="false">IF(13&gt;=前提!$B$8,$E16,$D16)</f>
        <v>300</v>
      </c>
      <c r="T16" s="26" t="n">
        <f aca="false">IF(14&gt;=前提!$B$8,$E16,$D16)</f>
        <v>300</v>
      </c>
      <c r="U16" s="26" t="n">
        <f aca="false">IF(15&gt;=前提!$B$8,$E16,$D16)</f>
        <v>300</v>
      </c>
      <c r="V16" s="26" t="n">
        <f aca="false">IF(16&gt;=前提!$B$8,$E16,$D16)</f>
        <v>300</v>
      </c>
      <c r="W16" s="26" t="n">
        <f aca="false">IF(17&gt;=前提!$B$8,$E16,$D16)</f>
        <v>300</v>
      </c>
      <c r="X16" s="26" t="n">
        <f aca="false">IF(18&gt;=前提!$B$8,$E16,$D16)</f>
        <v>300</v>
      </c>
      <c r="Y16" s="26" t="n">
        <f aca="false">IF(19&gt;=前提!$B$8,$E16,$D16)</f>
        <v>300</v>
      </c>
      <c r="Z16" s="26" t="n">
        <f aca="false">IF(20&gt;=前提!$B$8,$E16,$D16)</f>
        <v>300</v>
      </c>
      <c r="AA16" s="26" t="n">
        <f aca="false">IF(21&gt;=前提!$B$8,$E16,$D16)</f>
        <v>300</v>
      </c>
      <c r="AB16" s="26" t="n">
        <f aca="false">IF(22&gt;=前提!$B$8,$E16,$D16)</f>
        <v>300</v>
      </c>
      <c r="AC16" s="26" t="n">
        <f aca="false">IF(23&gt;=前提!$B$8,$E16,$D16)</f>
        <v>300</v>
      </c>
      <c r="AD16" s="26" t="n">
        <f aca="false">IF(24&gt;=前提!$B$8,$E16,$D16)</f>
        <v>300</v>
      </c>
      <c r="AE16" s="26" t="n">
        <f aca="false">IF(25&gt;=前提!$B$8,$E16,$D16)</f>
        <v>300</v>
      </c>
      <c r="AF16" s="26" t="n">
        <f aca="false">IF(26&gt;=前提!$B$8,$E16,$D16)</f>
        <v>300</v>
      </c>
      <c r="AG16" s="26" t="n">
        <f aca="false">IF(27&gt;=前提!$B$8,$E16,$D16)</f>
        <v>300</v>
      </c>
      <c r="AH16" s="26" t="n">
        <f aca="false">IF(28&gt;=前提!$B$8,$E16,$D16)</f>
        <v>300</v>
      </c>
      <c r="AI16" s="26" t="n">
        <f aca="false">IF(29&gt;=前提!$B$8,$E16,$D16)</f>
        <v>300</v>
      </c>
      <c r="AJ16" s="26" t="n">
        <f aca="false">IF(30&gt;=前提!$B$8,$E16,$D16)</f>
        <v>300</v>
      </c>
      <c r="AK16" s="26" t="n">
        <f aca="false">IF(31&gt;=前提!$B$8,$E16,$D16)</f>
        <v>300</v>
      </c>
      <c r="AL16" s="26" t="n">
        <f aca="false">IF(32&gt;=前提!$B$8,$E16,$D16)</f>
        <v>300</v>
      </c>
      <c r="AM16" s="26" t="n">
        <f aca="false">IF(33&gt;=前提!$B$8,$E16,$D16)</f>
        <v>300</v>
      </c>
      <c r="AN16" s="26" t="n">
        <f aca="false">IF(34&gt;=前提!$B$8,$E16,$D16)</f>
        <v>300</v>
      </c>
      <c r="AO16" s="26" t="n">
        <f aca="false">IF(35&gt;=前提!$B$8,$E16,$D16)</f>
        <v>300</v>
      </c>
      <c r="AP16" s="26" t="n">
        <f aca="false">IF(36&gt;=前提!$B$8,$E16,$D16)</f>
        <v>300</v>
      </c>
      <c r="AQ16" s="27" t="n">
        <f aca="false">SUM(G16:R16)</f>
        <v>384</v>
      </c>
      <c r="AR16" s="27" t="n">
        <f aca="false">SUM(S16:AD16)</f>
        <v>3600</v>
      </c>
      <c r="AS16" s="27" t="n">
        <f aca="false">SUM(AE16:AP16)</f>
        <v>3600</v>
      </c>
      <c r="AT16" s="27" t="n">
        <f aca="false">SUM(G16:AP16)</f>
        <v>7584</v>
      </c>
    </row>
    <row r="17" customFormat="false" ht="15" hidden="false" customHeight="false" outlineLevel="0" collapsed="false">
      <c r="B17" s="12" t="s">
        <v>240</v>
      </c>
      <c r="G17" s="27" t="n">
        <f aca="false">SUM(G6:G16)</f>
        <v>318.148</v>
      </c>
      <c r="H17" s="27" t="n">
        <f aca="false">SUM(H6:H16)</f>
        <v>318.148</v>
      </c>
      <c r="I17" s="27" t="n">
        <f aca="false">SUM(I6:I16)</f>
        <v>318.148</v>
      </c>
      <c r="J17" s="27" t="n">
        <f aca="false">SUM(J6:J16)</f>
        <v>318.148</v>
      </c>
      <c r="K17" s="27" t="n">
        <f aca="false">SUM(K6:K16)</f>
        <v>318.148</v>
      </c>
      <c r="L17" s="27" t="n">
        <f aca="false">SUM(L6:L16)</f>
        <v>318.148</v>
      </c>
      <c r="M17" s="27" t="n">
        <f aca="false">SUM(M6:M16)</f>
        <v>318.148</v>
      </c>
      <c r="N17" s="27" t="n">
        <f aca="false">SUM(N6:N16)</f>
        <v>318.148</v>
      </c>
      <c r="O17" s="27" t="n">
        <f aca="false">SUM(O6:O16)</f>
        <v>318.148</v>
      </c>
      <c r="P17" s="27" t="n">
        <f aca="false">SUM(P6:P16)</f>
        <v>318.148</v>
      </c>
      <c r="Q17" s="27" t="n">
        <f aca="false">SUM(Q6:Q16)</f>
        <v>318.148</v>
      </c>
      <c r="R17" s="27" t="n">
        <f aca="false">SUM(R6:R16)</f>
        <v>318.148</v>
      </c>
      <c r="S17" s="27" t="n">
        <f aca="false">SUM(S6:S16)</f>
        <v>1256.912</v>
      </c>
      <c r="T17" s="27" t="n">
        <f aca="false">SUM(T6:T16)</f>
        <v>1256.912</v>
      </c>
      <c r="U17" s="27" t="n">
        <f aca="false">SUM(U6:U16)</f>
        <v>1256.912</v>
      </c>
      <c r="V17" s="27" t="n">
        <f aca="false">SUM(V6:V16)</f>
        <v>1256.912</v>
      </c>
      <c r="W17" s="27" t="n">
        <f aca="false">SUM(W6:W16)</f>
        <v>1256.912</v>
      </c>
      <c r="X17" s="27" t="n">
        <f aca="false">SUM(X6:X16)</f>
        <v>1256.912</v>
      </c>
      <c r="Y17" s="27" t="n">
        <f aca="false">SUM(Y6:Y16)</f>
        <v>1256.912</v>
      </c>
      <c r="Z17" s="27" t="n">
        <f aca="false">SUM(Z6:Z16)</f>
        <v>1256.912</v>
      </c>
      <c r="AA17" s="27" t="n">
        <f aca="false">SUM(AA6:AA16)</f>
        <v>1256.912</v>
      </c>
      <c r="AB17" s="27" t="n">
        <f aca="false">SUM(AB6:AB16)</f>
        <v>1256.912</v>
      </c>
      <c r="AC17" s="27" t="n">
        <f aca="false">SUM(AC6:AC16)</f>
        <v>1256.912</v>
      </c>
      <c r="AD17" s="27" t="n">
        <f aca="false">SUM(AD6:AD16)</f>
        <v>1256.912</v>
      </c>
      <c r="AE17" s="27" t="n">
        <f aca="false">SUM(AE6:AE16)</f>
        <v>1256.912</v>
      </c>
      <c r="AF17" s="27" t="n">
        <f aca="false">SUM(AF6:AF16)</f>
        <v>1256.912</v>
      </c>
      <c r="AG17" s="27" t="n">
        <f aca="false">SUM(AG6:AG16)</f>
        <v>1256.912</v>
      </c>
      <c r="AH17" s="27" t="n">
        <f aca="false">SUM(AH6:AH16)</f>
        <v>1256.912</v>
      </c>
      <c r="AI17" s="27" t="n">
        <f aca="false">SUM(AI6:AI16)</f>
        <v>1256.912</v>
      </c>
      <c r="AJ17" s="27" t="n">
        <f aca="false">SUM(AJ6:AJ16)</f>
        <v>1256.912</v>
      </c>
      <c r="AK17" s="27" t="n">
        <f aca="false">SUM(AK6:AK16)</f>
        <v>1256.912</v>
      </c>
      <c r="AL17" s="27" t="n">
        <f aca="false">SUM(AL6:AL16)</f>
        <v>1256.912</v>
      </c>
      <c r="AM17" s="27" t="n">
        <f aca="false">SUM(AM6:AM16)</f>
        <v>1256.912</v>
      </c>
      <c r="AN17" s="27" t="n">
        <f aca="false">SUM(AN6:AN16)</f>
        <v>1256.912</v>
      </c>
      <c r="AO17" s="27" t="n">
        <f aca="false">SUM(AO6:AO16)</f>
        <v>1256.912</v>
      </c>
      <c r="AP17" s="27" t="n">
        <f aca="false">SUM(AP6:AP16)</f>
        <v>1256.912</v>
      </c>
      <c r="AQ17" s="27" t="n">
        <f aca="false">SUM(AQ6:AQ16)</f>
        <v>3817.776</v>
      </c>
      <c r="AR17" s="27" t="n">
        <f aca="false">SUM(AR6:AR16)</f>
        <v>15082.944</v>
      </c>
      <c r="AS17" s="27" t="n">
        <f aca="false">SUM(AS6:AS16)</f>
        <v>15082.944</v>
      </c>
      <c r="AT17" s="27" t="n">
        <f aca="false">SUM(AT6:AT16)</f>
        <v>33983.664</v>
      </c>
    </row>
    <row r="19" customFormat="false" ht="15" hidden="false" customHeight="false" outlineLevel="0" collapsed="false">
      <c r="A19" s="23" t="s">
        <v>241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</row>
    <row r="20" customFormat="false" ht="15" hidden="false" customHeight="false" outlineLevel="0" collapsed="false">
      <c r="B20" s="5" t="s">
        <v>242</v>
      </c>
      <c r="C20" s="7" t="s">
        <v>243</v>
      </c>
      <c r="G20" s="28" t="n">
        <f aca="false">(G17-G10-G16)*前提!$B$9</f>
        <v>61.8992</v>
      </c>
      <c r="H20" s="28" t="n">
        <f aca="false">(H17-H10-H16)*前提!$B$9</f>
        <v>61.8992</v>
      </c>
      <c r="I20" s="28" t="n">
        <f aca="false">(I17-I10-I16)*前提!$B$9</f>
        <v>61.8992</v>
      </c>
      <c r="J20" s="28" t="n">
        <f aca="false">(J17-J10-J16)*前提!$B$9</f>
        <v>61.8992</v>
      </c>
      <c r="K20" s="28" t="n">
        <f aca="false">(K17-K10-K16)*前提!$B$9</f>
        <v>61.8992</v>
      </c>
      <c r="L20" s="28" t="n">
        <f aca="false">(L17-L10-L16)*前提!$B$9</f>
        <v>61.8992</v>
      </c>
      <c r="M20" s="28" t="n">
        <f aca="false">(M17-M10-M16)*前提!$B$9</f>
        <v>61.8992</v>
      </c>
      <c r="N20" s="28" t="n">
        <f aca="false">(N17-N10-N16)*前提!$B$9</f>
        <v>61.8992</v>
      </c>
      <c r="O20" s="28" t="n">
        <f aca="false">(O17-O10-O16)*前提!$B$9</f>
        <v>61.8992</v>
      </c>
      <c r="P20" s="28" t="n">
        <f aca="false">(P17-P10-P16)*前提!$B$9</f>
        <v>61.8992</v>
      </c>
      <c r="Q20" s="28" t="n">
        <f aca="false">(Q17-Q10-Q16)*前提!$B$9</f>
        <v>61.8992</v>
      </c>
      <c r="R20" s="28" t="n">
        <f aca="false">(R17-R10-R16)*前提!$B$9</f>
        <v>61.8992</v>
      </c>
      <c r="S20" s="28" t="n">
        <f aca="false">(S17-S10-S16)*前提!$B$9</f>
        <v>172.5248</v>
      </c>
      <c r="T20" s="28" t="n">
        <f aca="false">(T17-T10-T16)*前提!$B$9</f>
        <v>172.5248</v>
      </c>
      <c r="U20" s="28" t="n">
        <f aca="false">(U17-U10-U16)*前提!$B$9</f>
        <v>172.5248</v>
      </c>
      <c r="V20" s="28" t="n">
        <f aca="false">(V17-V10-V16)*前提!$B$9</f>
        <v>172.5248</v>
      </c>
      <c r="W20" s="28" t="n">
        <f aca="false">(W17-W10-W16)*前提!$B$9</f>
        <v>172.5248</v>
      </c>
      <c r="X20" s="28" t="n">
        <f aca="false">(X17-X10-X16)*前提!$B$9</f>
        <v>172.5248</v>
      </c>
      <c r="Y20" s="28" t="n">
        <f aca="false">(Y17-Y10-Y16)*前提!$B$9</f>
        <v>172.5248</v>
      </c>
      <c r="Z20" s="28" t="n">
        <f aca="false">(Z17-Z10-Z16)*前提!$B$9</f>
        <v>172.5248</v>
      </c>
      <c r="AA20" s="28" t="n">
        <f aca="false">(AA17-AA10-AA16)*前提!$B$9</f>
        <v>172.5248</v>
      </c>
      <c r="AB20" s="28" t="n">
        <f aca="false">(AB17-AB10-AB16)*前提!$B$9</f>
        <v>172.5248</v>
      </c>
      <c r="AC20" s="28" t="n">
        <f aca="false">(AC17-AC10-AC16)*前提!$B$9</f>
        <v>172.5248</v>
      </c>
      <c r="AD20" s="28" t="n">
        <f aca="false">(AD17-AD10-AD16)*前提!$B$9</f>
        <v>172.5248</v>
      </c>
      <c r="AE20" s="28" t="n">
        <f aca="false">(AE17-AE10-AE16)*前提!$B$9</f>
        <v>172.5248</v>
      </c>
      <c r="AF20" s="28" t="n">
        <f aca="false">(AF17-AF10-AF16)*前提!$B$9</f>
        <v>172.5248</v>
      </c>
      <c r="AG20" s="28" t="n">
        <f aca="false">(AG17-AG10-AG16)*前提!$B$9</f>
        <v>172.5248</v>
      </c>
      <c r="AH20" s="28" t="n">
        <f aca="false">(AH17-AH10-AH16)*前提!$B$9</f>
        <v>172.5248</v>
      </c>
      <c r="AI20" s="28" t="n">
        <f aca="false">(AI17-AI10-AI16)*前提!$B$9</f>
        <v>172.5248</v>
      </c>
      <c r="AJ20" s="28" t="n">
        <f aca="false">(AJ17-AJ10-AJ16)*前提!$B$9</f>
        <v>172.5248</v>
      </c>
      <c r="AK20" s="28" t="n">
        <f aca="false">(AK17-AK10-AK16)*前提!$B$9</f>
        <v>172.5248</v>
      </c>
      <c r="AL20" s="28" t="n">
        <f aca="false">(AL17-AL10-AL16)*前提!$B$9</f>
        <v>172.5248</v>
      </c>
      <c r="AM20" s="28" t="n">
        <f aca="false">(AM17-AM10-AM16)*前提!$B$9</f>
        <v>172.5248</v>
      </c>
      <c r="AN20" s="28" t="n">
        <f aca="false">(AN17-AN10-AN16)*前提!$B$9</f>
        <v>172.5248</v>
      </c>
      <c r="AO20" s="28" t="n">
        <f aca="false">(AO17-AO10-AO16)*前提!$B$9</f>
        <v>172.5248</v>
      </c>
      <c r="AP20" s="28" t="n">
        <f aca="false">(AP17-AP10-AP16)*前提!$B$9</f>
        <v>172.5248</v>
      </c>
      <c r="AQ20" s="27" t="n">
        <f aca="false">SUM(G20:R20)</f>
        <v>742.7904</v>
      </c>
      <c r="AR20" s="27" t="n">
        <f aca="false">SUM(S20:AD20)</f>
        <v>2070.2976</v>
      </c>
      <c r="AS20" s="27" t="n">
        <f aca="false">SUM(AE20:AP20)</f>
        <v>2070.2976</v>
      </c>
      <c r="AT20" s="27" t="n">
        <f aca="false">SUM(G20:AP20)</f>
        <v>4883.3856</v>
      </c>
    </row>
    <row r="21" customFormat="false" ht="15" hidden="false" customHeight="false" outlineLevel="0" collapsed="false">
      <c r="B21" s="15" t="s">
        <v>244</v>
      </c>
      <c r="C21" s="7" t="s">
        <v>226</v>
      </c>
      <c r="D21" s="14" t="n">
        <v>1</v>
      </c>
      <c r="E21" s="14" t="n">
        <v>2</v>
      </c>
      <c r="F21" s="15" t="s">
        <v>227</v>
      </c>
      <c r="G21" s="26" t="n">
        <f aca="false">IF(1&gt;=前提!$B$8,$E21,$D21)*前提!$B$46</f>
        <v>65.7</v>
      </c>
      <c r="H21" s="26" t="n">
        <f aca="false">IF(2&gt;=前提!$B$8,$E21,$D21)*前提!$B$46</f>
        <v>65.7</v>
      </c>
      <c r="I21" s="26" t="n">
        <f aca="false">IF(3&gt;=前提!$B$8,$E21,$D21)*前提!$B$46</f>
        <v>65.7</v>
      </c>
      <c r="J21" s="26" t="n">
        <f aca="false">IF(4&gt;=前提!$B$8,$E21,$D21)*前提!$B$46</f>
        <v>65.7</v>
      </c>
      <c r="K21" s="26" t="n">
        <f aca="false">IF(5&gt;=前提!$B$8,$E21,$D21)*前提!$B$46</f>
        <v>65.7</v>
      </c>
      <c r="L21" s="26" t="n">
        <f aca="false">IF(6&gt;=前提!$B$8,$E21,$D21)*前提!$B$46</f>
        <v>65.7</v>
      </c>
      <c r="M21" s="26" t="n">
        <f aca="false">IF(7&gt;=前提!$B$8,$E21,$D21)*前提!$B$46</f>
        <v>65.7</v>
      </c>
      <c r="N21" s="26" t="n">
        <f aca="false">IF(8&gt;=前提!$B$8,$E21,$D21)*前提!$B$46</f>
        <v>65.7</v>
      </c>
      <c r="O21" s="26" t="n">
        <f aca="false">IF(9&gt;=前提!$B$8,$E21,$D21)*前提!$B$46</f>
        <v>65.7</v>
      </c>
      <c r="P21" s="26" t="n">
        <f aca="false">IF(10&gt;=前提!$B$8,$E21,$D21)*前提!$B$46</f>
        <v>65.7</v>
      </c>
      <c r="Q21" s="26" t="n">
        <f aca="false">IF(11&gt;=前提!$B$8,$E21,$D21)*前提!$B$46</f>
        <v>65.7</v>
      </c>
      <c r="R21" s="26" t="n">
        <f aca="false">IF(12&gt;=前提!$B$8,$E21,$D21)*前提!$B$46</f>
        <v>65.7</v>
      </c>
      <c r="S21" s="26" t="n">
        <f aca="false">IF(13&gt;=前提!$B$8,$E21,$D21)*前提!$B$46</f>
        <v>131.4</v>
      </c>
      <c r="T21" s="26" t="n">
        <f aca="false">IF(14&gt;=前提!$B$8,$E21,$D21)*前提!$B$46</f>
        <v>131.4</v>
      </c>
      <c r="U21" s="26" t="n">
        <f aca="false">IF(15&gt;=前提!$B$8,$E21,$D21)*前提!$B$46</f>
        <v>131.4</v>
      </c>
      <c r="V21" s="26" t="n">
        <f aca="false">IF(16&gt;=前提!$B$8,$E21,$D21)*前提!$B$46</f>
        <v>131.4</v>
      </c>
      <c r="W21" s="26" t="n">
        <f aca="false">IF(17&gt;=前提!$B$8,$E21,$D21)*前提!$B$46</f>
        <v>131.4</v>
      </c>
      <c r="X21" s="26" t="n">
        <f aca="false">IF(18&gt;=前提!$B$8,$E21,$D21)*前提!$B$46</f>
        <v>131.4</v>
      </c>
      <c r="Y21" s="26" t="n">
        <f aca="false">IF(19&gt;=前提!$B$8,$E21,$D21)*前提!$B$46</f>
        <v>131.4</v>
      </c>
      <c r="Z21" s="26" t="n">
        <f aca="false">IF(20&gt;=前提!$B$8,$E21,$D21)*前提!$B$46</f>
        <v>131.4</v>
      </c>
      <c r="AA21" s="26" t="n">
        <f aca="false">IF(21&gt;=前提!$B$8,$E21,$D21)*前提!$B$46</f>
        <v>131.4</v>
      </c>
      <c r="AB21" s="26" t="n">
        <f aca="false">IF(22&gt;=前提!$B$8,$E21,$D21)*前提!$B$46</f>
        <v>131.4</v>
      </c>
      <c r="AC21" s="26" t="n">
        <f aca="false">IF(23&gt;=前提!$B$8,$E21,$D21)*前提!$B$46</f>
        <v>131.4</v>
      </c>
      <c r="AD21" s="26" t="n">
        <f aca="false">IF(24&gt;=前提!$B$8,$E21,$D21)*前提!$B$46</f>
        <v>131.4</v>
      </c>
      <c r="AE21" s="26" t="n">
        <f aca="false">IF(25&gt;=前提!$B$8,$E21,$D21)*前提!$B$46</f>
        <v>131.4</v>
      </c>
      <c r="AF21" s="26" t="n">
        <f aca="false">IF(26&gt;=前提!$B$8,$E21,$D21)*前提!$B$46</f>
        <v>131.4</v>
      </c>
      <c r="AG21" s="26" t="n">
        <f aca="false">IF(27&gt;=前提!$B$8,$E21,$D21)*前提!$B$46</f>
        <v>131.4</v>
      </c>
      <c r="AH21" s="26" t="n">
        <f aca="false">IF(28&gt;=前提!$B$8,$E21,$D21)*前提!$B$46</f>
        <v>131.4</v>
      </c>
      <c r="AI21" s="26" t="n">
        <f aca="false">IF(29&gt;=前提!$B$8,$E21,$D21)*前提!$B$46</f>
        <v>131.4</v>
      </c>
      <c r="AJ21" s="26" t="n">
        <f aca="false">IF(30&gt;=前提!$B$8,$E21,$D21)*前提!$B$46</f>
        <v>131.4</v>
      </c>
      <c r="AK21" s="26" t="n">
        <f aca="false">IF(31&gt;=前提!$B$8,$E21,$D21)*前提!$B$46</f>
        <v>131.4</v>
      </c>
      <c r="AL21" s="26" t="n">
        <f aca="false">IF(32&gt;=前提!$B$8,$E21,$D21)*前提!$B$46</f>
        <v>131.4</v>
      </c>
      <c r="AM21" s="26" t="n">
        <f aca="false">IF(33&gt;=前提!$B$8,$E21,$D21)*前提!$B$46</f>
        <v>131.4</v>
      </c>
      <c r="AN21" s="26" t="n">
        <f aca="false">IF(34&gt;=前提!$B$8,$E21,$D21)*前提!$B$46</f>
        <v>131.4</v>
      </c>
      <c r="AO21" s="26" t="n">
        <f aca="false">IF(35&gt;=前提!$B$8,$E21,$D21)*前提!$B$46</f>
        <v>131.4</v>
      </c>
      <c r="AP21" s="26" t="n">
        <f aca="false">IF(36&gt;=前提!$B$8,$E21,$D21)*前提!$B$46</f>
        <v>131.4</v>
      </c>
      <c r="AQ21" s="27" t="n">
        <f aca="false">SUM(G21:R21)</f>
        <v>788.4</v>
      </c>
      <c r="AR21" s="27" t="n">
        <f aca="false">SUM(S21:AD21)</f>
        <v>1576.8</v>
      </c>
      <c r="AS21" s="27" t="n">
        <f aca="false">SUM(AE21:AP21)</f>
        <v>1576.8</v>
      </c>
      <c r="AT21" s="27" t="n">
        <f aca="false">SUM(G21:AP21)</f>
        <v>3942</v>
      </c>
    </row>
    <row r="22" customFormat="false" ht="15" hidden="false" customHeight="false" outlineLevel="0" collapsed="false">
      <c r="B22" s="12" t="s">
        <v>245</v>
      </c>
      <c r="G22" s="27" t="n">
        <f aca="false">G20+G21</f>
        <v>127.5992</v>
      </c>
      <c r="H22" s="27" t="n">
        <f aca="false">H20+H21</f>
        <v>127.5992</v>
      </c>
      <c r="I22" s="27" t="n">
        <f aca="false">I20+I21</f>
        <v>127.5992</v>
      </c>
      <c r="J22" s="27" t="n">
        <f aca="false">J20+J21</f>
        <v>127.5992</v>
      </c>
      <c r="K22" s="27" t="n">
        <f aca="false">K20+K21</f>
        <v>127.5992</v>
      </c>
      <c r="L22" s="27" t="n">
        <f aca="false">L20+L21</f>
        <v>127.5992</v>
      </c>
      <c r="M22" s="27" t="n">
        <f aca="false">M20+M21</f>
        <v>127.5992</v>
      </c>
      <c r="N22" s="27" t="n">
        <f aca="false">N20+N21</f>
        <v>127.5992</v>
      </c>
      <c r="O22" s="27" t="n">
        <f aca="false">O20+O21</f>
        <v>127.5992</v>
      </c>
      <c r="P22" s="27" t="n">
        <f aca="false">P20+P21</f>
        <v>127.5992</v>
      </c>
      <c r="Q22" s="27" t="n">
        <f aca="false">Q20+Q21</f>
        <v>127.5992</v>
      </c>
      <c r="R22" s="27" t="n">
        <f aca="false">R20+R21</f>
        <v>127.5992</v>
      </c>
      <c r="S22" s="27" t="n">
        <f aca="false">S20+S21</f>
        <v>303.9248</v>
      </c>
      <c r="T22" s="27" t="n">
        <f aca="false">T20+T21</f>
        <v>303.9248</v>
      </c>
      <c r="U22" s="27" t="n">
        <f aca="false">U20+U21</f>
        <v>303.9248</v>
      </c>
      <c r="V22" s="27" t="n">
        <f aca="false">V20+V21</f>
        <v>303.9248</v>
      </c>
      <c r="W22" s="27" t="n">
        <f aca="false">W20+W21</f>
        <v>303.9248</v>
      </c>
      <c r="X22" s="27" t="n">
        <f aca="false">X20+X21</f>
        <v>303.9248</v>
      </c>
      <c r="Y22" s="27" t="n">
        <f aca="false">Y20+Y21</f>
        <v>303.9248</v>
      </c>
      <c r="Z22" s="27" t="n">
        <f aca="false">Z20+Z21</f>
        <v>303.9248</v>
      </c>
      <c r="AA22" s="27" t="n">
        <f aca="false">AA20+AA21</f>
        <v>303.9248</v>
      </c>
      <c r="AB22" s="27" t="n">
        <f aca="false">AB20+AB21</f>
        <v>303.9248</v>
      </c>
      <c r="AC22" s="27" t="n">
        <f aca="false">AC20+AC21</f>
        <v>303.9248</v>
      </c>
      <c r="AD22" s="27" t="n">
        <f aca="false">AD20+AD21</f>
        <v>303.9248</v>
      </c>
      <c r="AE22" s="27" t="n">
        <f aca="false">AE20+AE21</f>
        <v>303.9248</v>
      </c>
      <c r="AF22" s="27" t="n">
        <f aca="false">AF20+AF21</f>
        <v>303.9248</v>
      </c>
      <c r="AG22" s="27" t="n">
        <f aca="false">AG20+AG21</f>
        <v>303.9248</v>
      </c>
      <c r="AH22" s="27" t="n">
        <f aca="false">AH20+AH21</f>
        <v>303.9248</v>
      </c>
      <c r="AI22" s="27" t="n">
        <f aca="false">AI20+AI21</f>
        <v>303.9248</v>
      </c>
      <c r="AJ22" s="27" t="n">
        <f aca="false">AJ20+AJ21</f>
        <v>303.9248</v>
      </c>
      <c r="AK22" s="27" t="n">
        <f aca="false">AK20+AK21</f>
        <v>303.9248</v>
      </c>
      <c r="AL22" s="27" t="n">
        <f aca="false">AL20+AL21</f>
        <v>303.9248</v>
      </c>
      <c r="AM22" s="27" t="n">
        <f aca="false">AM20+AM21</f>
        <v>303.9248</v>
      </c>
      <c r="AN22" s="27" t="n">
        <f aca="false">AN20+AN21</f>
        <v>303.9248</v>
      </c>
      <c r="AO22" s="27" t="n">
        <f aca="false">AO20+AO21</f>
        <v>303.9248</v>
      </c>
      <c r="AP22" s="27" t="n">
        <f aca="false">AP20+AP21</f>
        <v>303.9248</v>
      </c>
      <c r="AQ22" s="27" t="n">
        <f aca="false">AQ20+AQ21</f>
        <v>1531.1904</v>
      </c>
      <c r="AR22" s="27" t="n">
        <f aca="false">AR20+AR21</f>
        <v>3647.0976</v>
      </c>
      <c r="AS22" s="27" t="n">
        <f aca="false">AS20+AS21</f>
        <v>3647.0976</v>
      </c>
      <c r="AT22" s="27" t="n">
        <f aca="false">AT20+AT21</f>
        <v>8825.3856</v>
      </c>
    </row>
    <row r="24" customFormat="false" ht="15" hidden="false" customHeight="false" outlineLevel="0" collapsed="false">
      <c r="B24" s="12" t="s">
        <v>246</v>
      </c>
      <c r="G24" s="27" t="n">
        <f aca="false">G17+G22</f>
        <v>445.7472</v>
      </c>
      <c r="H24" s="27" t="n">
        <f aca="false">H17+H22</f>
        <v>445.7472</v>
      </c>
      <c r="I24" s="27" t="n">
        <f aca="false">I17+I22</f>
        <v>445.7472</v>
      </c>
      <c r="J24" s="27" t="n">
        <f aca="false">J17+J22</f>
        <v>445.7472</v>
      </c>
      <c r="K24" s="27" t="n">
        <f aca="false">K17+K22</f>
        <v>445.7472</v>
      </c>
      <c r="L24" s="27" t="n">
        <f aca="false">L17+L22</f>
        <v>445.7472</v>
      </c>
      <c r="M24" s="27" t="n">
        <f aca="false">M17+M22</f>
        <v>445.7472</v>
      </c>
      <c r="N24" s="27" t="n">
        <f aca="false">N17+N22</f>
        <v>445.7472</v>
      </c>
      <c r="O24" s="27" t="n">
        <f aca="false">O17+O22</f>
        <v>445.7472</v>
      </c>
      <c r="P24" s="27" t="n">
        <f aca="false">P17+P22</f>
        <v>445.7472</v>
      </c>
      <c r="Q24" s="27" t="n">
        <f aca="false">Q17+Q22</f>
        <v>445.7472</v>
      </c>
      <c r="R24" s="27" t="n">
        <f aca="false">R17+R22</f>
        <v>445.7472</v>
      </c>
      <c r="S24" s="27" t="n">
        <f aca="false">S17+S22</f>
        <v>1560.8368</v>
      </c>
      <c r="T24" s="27" t="n">
        <f aca="false">T17+T22</f>
        <v>1560.8368</v>
      </c>
      <c r="U24" s="27" t="n">
        <f aca="false">U17+U22</f>
        <v>1560.8368</v>
      </c>
      <c r="V24" s="27" t="n">
        <f aca="false">V17+V22</f>
        <v>1560.8368</v>
      </c>
      <c r="W24" s="27" t="n">
        <f aca="false">W17+W22</f>
        <v>1560.8368</v>
      </c>
      <c r="X24" s="27" t="n">
        <f aca="false">X17+X22</f>
        <v>1560.8368</v>
      </c>
      <c r="Y24" s="27" t="n">
        <f aca="false">Y17+Y22</f>
        <v>1560.8368</v>
      </c>
      <c r="Z24" s="27" t="n">
        <f aca="false">Z17+Z22</f>
        <v>1560.8368</v>
      </c>
      <c r="AA24" s="27" t="n">
        <f aca="false">AA17+AA22</f>
        <v>1560.8368</v>
      </c>
      <c r="AB24" s="27" t="n">
        <f aca="false">AB17+AB22</f>
        <v>1560.8368</v>
      </c>
      <c r="AC24" s="27" t="n">
        <f aca="false">AC17+AC22</f>
        <v>1560.8368</v>
      </c>
      <c r="AD24" s="27" t="n">
        <f aca="false">AD17+AD22</f>
        <v>1560.8368</v>
      </c>
      <c r="AE24" s="27" t="n">
        <f aca="false">AE17+AE22</f>
        <v>1560.8368</v>
      </c>
      <c r="AF24" s="27" t="n">
        <f aca="false">AF17+AF22</f>
        <v>1560.8368</v>
      </c>
      <c r="AG24" s="27" t="n">
        <f aca="false">AG17+AG22</f>
        <v>1560.8368</v>
      </c>
      <c r="AH24" s="27" t="n">
        <f aca="false">AH17+AH22</f>
        <v>1560.8368</v>
      </c>
      <c r="AI24" s="27" t="n">
        <f aca="false">AI17+AI22</f>
        <v>1560.8368</v>
      </c>
      <c r="AJ24" s="27" t="n">
        <f aca="false">AJ17+AJ22</f>
        <v>1560.8368</v>
      </c>
      <c r="AK24" s="27" t="n">
        <f aca="false">AK17+AK22</f>
        <v>1560.8368</v>
      </c>
      <c r="AL24" s="27" t="n">
        <f aca="false">AL17+AL22</f>
        <v>1560.8368</v>
      </c>
      <c r="AM24" s="27" t="n">
        <f aca="false">AM17+AM22</f>
        <v>1560.8368</v>
      </c>
      <c r="AN24" s="27" t="n">
        <f aca="false">AN17+AN22</f>
        <v>1560.8368</v>
      </c>
      <c r="AO24" s="27" t="n">
        <f aca="false">AO17+AO22</f>
        <v>1560.8368</v>
      </c>
      <c r="AP24" s="27" t="n">
        <f aca="false">AP17+AP22</f>
        <v>1560.8368</v>
      </c>
      <c r="AQ24" s="27" t="n">
        <f aca="false">AQ17+AQ22</f>
        <v>5348.9664</v>
      </c>
      <c r="AR24" s="27" t="n">
        <f aca="false">AR17+AR22</f>
        <v>18730.0416</v>
      </c>
      <c r="AS24" s="27" t="n">
        <f aca="false">AS17+AS22</f>
        <v>18730.0416</v>
      </c>
      <c r="AT24" s="27" t="n">
        <f aca="false">AT17+AT22</f>
        <v>42809.0496</v>
      </c>
    </row>
    <row r="25" customFormat="false" ht="15" hidden="false" customHeight="false" outlineLevel="0" collapsed="false">
      <c r="B25" s="12" t="s">
        <v>27</v>
      </c>
      <c r="G25" s="29" t="n">
        <f aca="false">G24*前提!$B$5</f>
        <v>66862.08</v>
      </c>
      <c r="H25" s="29" t="n">
        <f aca="false">H24*前提!$B$5</f>
        <v>66862.08</v>
      </c>
      <c r="I25" s="29" t="n">
        <f aca="false">I24*前提!$B$5</f>
        <v>66862.08</v>
      </c>
      <c r="J25" s="29" t="n">
        <f aca="false">J24*前提!$B$5</f>
        <v>66862.08</v>
      </c>
      <c r="K25" s="29" t="n">
        <f aca="false">K24*前提!$B$5</f>
        <v>66862.08</v>
      </c>
      <c r="L25" s="29" t="n">
        <f aca="false">L24*前提!$B$5</f>
        <v>66862.08</v>
      </c>
      <c r="M25" s="29" t="n">
        <f aca="false">M24*前提!$B$5</f>
        <v>66862.08</v>
      </c>
      <c r="N25" s="29" t="n">
        <f aca="false">N24*前提!$B$5</f>
        <v>66862.08</v>
      </c>
      <c r="O25" s="29" t="n">
        <f aca="false">O24*前提!$B$5</f>
        <v>66862.08</v>
      </c>
      <c r="P25" s="29" t="n">
        <f aca="false">P24*前提!$B$5</f>
        <v>66862.08</v>
      </c>
      <c r="Q25" s="29" t="n">
        <f aca="false">Q24*前提!$B$5</f>
        <v>66862.08</v>
      </c>
      <c r="R25" s="29" t="n">
        <f aca="false">R24*前提!$B$5</f>
        <v>66862.08</v>
      </c>
      <c r="S25" s="29" t="n">
        <f aca="false">S24*前提!$B$5</f>
        <v>234125.52</v>
      </c>
      <c r="T25" s="29" t="n">
        <f aca="false">T24*前提!$B$5</f>
        <v>234125.52</v>
      </c>
      <c r="U25" s="29" t="n">
        <f aca="false">U24*前提!$B$5</f>
        <v>234125.52</v>
      </c>
      <c r="V25" s="29" t="n">
        <f aca="false">V24*前提!$B$5</f>
        <v>234125.52</v>
      </c>
      <c r="W25" s="29" t="n">
        <f aca="false">W24*前提!$B$5</f>
        <v>234125.52</v>
      </c>
      <c r="X25" s="29" t="n">
        <f aca="false">X24*前提!$B$5</f>
        <v>234125.52</v>
      </c>
      <c r="Y25" s="29" t="n">
        <f aca="false">Y24*前提!$B$5</f>
        <v>234125.52</v>
      </c>
      <c r="Z25" s="29" t="n">
        <f aca="false">Z24*前提!$B$5</f>
        <v>234125.52</v>
      </c>
      <c r="AA25" s="29" t="n">
        <f aca="false">AA24*前提!$B$5</f>
        <v>234125.52</v>
      </c>
      <c r="AB25" s="29" t="n">
        <f aca="false">AB24*前提!$B$5</f>
        <v>234125.52</v>
      </c>
      <c r="AC25" s="29" t="n">
        <f aca="false">AC24*前提!$B$5</f>
        <v>234125.52</v>
      </c>
      <c r="AD25" s="29" t="n">
        <f aca="false">AD24*前提!$B$5</f>
        <v>234125.52</v>
      </c>
      <c r="AE25" s="29" t="n">
        <f aca="false">AE24*前提!$B$5</f>
        <v>234125.52</v>
      </c>
      <c r="AF25" s="29" t="n">
        <f aca="false">AF24*前提!$B$5</f>
        <v>234125.52</v>
      </c>
      <c r="AG25" s="29" t="n">
        <f aca="false">AG24*前提!$B$5</f>
        <v>234125.52</v>
      </c>
      <c r="AH25" s="29" t="n">
        <f aca="false">AH24*前提!$B$5</f>
        <v>234125.52</v>
      </c>
      <c r="AI25" s="29" t="n">
        <f aca="false">AI24*前提!$B$5</f>
        <v>234125.52</v>
      </c>
      <c r="AJ25" s="29" t="n">
        <f aca="false">AJ24*前提!$B$5</f>
        <v>234125.52</v>
      </c>
      <c r="AK25" s="29" t="n">
        <f aca="false">AK24*前提!$B$5</f>
        <v>234125.52</v>
      </c>
      <c r="AL25" s="29" t="n">
        <f aca="false">AL24*前提!$B$5</f>
        <v>234125.52</v>
      </c>
      <c r="AM25" s="29" t="n">
        <f aca="false">AM24*前提!$B$5</f>
        <v>234125.52</v>
      </c>
      <c r="AN25" s="29" t="n">
        <f aca="false">AN24*前提!$B$5</f>
        <v>234125.52</v>
      </c>
      <c r="AO25" s="29" t="n">
        <f aca="false">AO24*前提!$B$5</f>
        <v>234125.52</v>
      </c>
      <c r="AP25" s="29" t="n">
        <f aca="false">AP24*前提!$B$5</f>
        <v>234125.52</v>
      </c>
      <c r="AQ25" s="29" t="n">
        <f aca="false">AQ24*前提!$B$5</f>
        <v>802344.96</v>
      </c>
      <c r="AR25" s="29" t="n">
        <f aca="false">AR24*前提!$B$5</f>
        <v>2809506.24</v>
      </c>
      <c r="AS25" s="29" t="n">
        <f aca="false">AS24*前提!$B$5</f>
        <v>2809506.24</v>
      </c>
      <c r="AT25" s="29" t="n">
        <f aca="false">AT24*前提!$B$5</f>
        <v>6421357.44</v>
      </c>
    </row>
    <row r="26" customFormat="false" ht="15" hidden="false" customHeight="false" outlineLevel="0" collapsed="false">
      <c r="B26" s="12" t="s">
        <v>247</v>
      </c>
      <c r="C26" s="2" t="s">
        <v>248</v>
      </c>
      <c r="G26" s="6" t="n">
        <f aca="false">前提!$B$10*前提!$B$11</f>
        <v>805000</v>
      </c>
      <c r="H26" s="6" t="n">
        <f aca="false">前提!$B$10*前提!$B$11</f>
        <v>805000</v>
      </c>
      <c r="I26" s="6" t="n">
        <f aca="false">前提!$B$10*前提!$B$11</f>
        <v>805000</v>
      </c>
      <c r="J26" s="6" t="n">
        <f aca="false">前提!$B$10*前提!$B$11</f>
        <v>805000</v>
      </c>
      <c r="K26" s="6" t="n">
        <f aca="false">前提!$B$10*前提!$B$11</f>
        <v>805000</v>
      </c>
      <c r="L26" s="6" t="n">
        <f aca="false">前提!$B$10*前提!$B$11</f>
        <v>805000</v>
      </c>
      <c r="M26" s="6" t="n">
        <f aca="false">前提!$B$10*前提!$B$11</f>
        <v>805000</v>
      </c>
      <c r="N26" s="6" t="n">
        <f aca="false">前提!$B$10*前提!$B$11</f>
        <v>805000</v>
      </c>
      <c r="O26" s="6" t="n">
        <f aca="false">前提!$B$10*前提!$B$11</f>
        <v>805000</v>
      </c>
      <c r="P26" s="6" t="n">
        <f aca="false">前提!$B$10*前提!$B$11</f>
        <v>805000</v>
      </c>
      <c r="Q26" s="6" t="n">
        <f aca="false">前提!$B$10*前提!$B$11</f>
        <v>805000</v>
      </c>
      <c r="R26" s="6" t="n">
        <f aca="false">前提!$B$10*前提!$B$11</f>
        <v>805000</v>
      </c>
      <c r="S26" s="6" t="n">
        <f aca="false">前提!$B$10*前提!$B$11</f>
        <v>805000</v>
      </c>
      <c r="T26" s="6" t="n">
        <f aca="false">前提!$B$10*前提!$B$11</f>
        <v>805000</v>
      </c>
      <c r="U26" s="6" t="n">
        <f aca="false">前提!$B$10*前提!$B$11</f>
        <v>805000</v>
      </c>
      <c r="V26" s="6" t="n">
        <f aca="false">前提!$B$10*前提!$B$11</f>
        <v>805000</v>
      </c>
      <c r="W26" s="6" t="n">
        <f aca="false">前提!$B$10*前提!$B$11</f>
        <v>805000</v>
      </c>
      <c r="X26" s="6" t="n">
        <f aca="false">前提!$B$10*前提!$B$11</f>
        <v>805000</v>
      </c>
      <c r="Y26" s="6" t="n">
        <f aca="false">前提!$B$10*前提!$B$11</f>
        <v>805000</v>
      </c>
      <c r="Z26" s="6" t="n">
        <f aca="false">前提!$B$10*前提!$B$11</f>
        <v>805000</v>
      </c>
      <c r="AA26" s="6" t="n">
        <f aca="false">前提!$B$10*前提!$B$11</f>
        <v>805000</v>
      </c>
      <c r="AB26" s="6" t="n">
        <f aca="false">前提!$B$10*前提!$B$11</f>
        <v>805000</v>
      </c>
      <c r="AC26" s="6" t="n">
        <f aca="false">前提!$B$10*前提!$B$11</f>
        <v>805000</v>
      </c>
      <c r="AD26" s="6" t="n">
        <f aca="false">前提!$B$10*前提!$B$11</f>
        <v>805000</v>
      </c>
      <c r="AE26" s="6" t="n">
        <f aca="false">前提!$B$10*前提!$B$11</f>
        <v>805000</v>
      </c>
      <c r="AF26" s="6" t="n">
        <f aca="false">前提!$B$10*前提!$B$11</f>
        <v>805000</v>
      </c>
      <c r="AG26" s="6" t="n">
        <f aca="false">前提!$B$10*前提!$B$11</f>
        <v>805000</v>
      </c>
      <c r="AH26" s="6" t="n">
        <f aca="false">前提!$B$10*前提!$B$11</f>
        <v>805000</v>
      </c>
      <c r="AI26" s="6" t="n">
        <f aca="false">前提!$B$10*前提!$B$11</f>
        <v>805000</v>
      </c>
      <c r="AJ26" s="6" t="n">
        <f aca="false">前提!$B$10*前提!$B$11</f>
        <v>805000</v>
      </c>
      <c r="AK26" s="6" t="n">
        <f aca="false">前提!$B$10*前提!$B$11</f>
        <v>805000</v>
      </c>
      <c r="AL26" s="6" t="n">
        <f aca="false">前提!$B$10*前提!$B$11</f>
        <v>805000</v>
      </c>
      <c r="AM26" s="6" t="n">
        <f aca="false">前提!$B$10*前提!$B$11</f>
        <v>805000</v>
      </c>
      <c r="AN26" s="6" t="n">
        <f aca="false">前提!$B$10*前提!$B$11</f>
        <v>805000</v>
      </c>
      <c r="AO26" s="6" t="n">
        <f aca="false">前提!$B$10*前提!$B$11</f>
        <v>805000</v>
      </c>
      <c r="AP26" s="6" t="n">
        <f aca="false">前提!$B$10*前提!$B$11</f>
        <v>805000</v>
      </c>
      <c r="AQ26" s="18" t="n">
        <f aca="false">SUM(G26:R26)</f>
        <v>9660000</v>
      </c>
      <c r="AR26" s="18" t="n">
        <f aca="false">SUM(S26:AD26)</f>
        <v>9660000</v>
      </c>
      <c r="AS26" s="18" t="n">
        <f aca="false">SUM(AE26:AP26)</f>
        <v>9660000</v>
      </c>
      <c r="AT26" s="18" t="n">
        <f aca="false">SUM(G26:AP26)</f>
        <v>28980000</v>
      </c>
    </row>
    <row r="27" customFormat="false" ht="15" hidden="false" customHeight="false" outlineLevel="0" collapsed="false">
      <c r="B27" s="10" t="s">
        <v>249</v>
      </c>
      <c r="G27" s="9" t="n">
        <f aca="false">G25+G26</f>
        <v>871862.08</v>
      </c>
      <c r="H27" s="9" t="n">
        <f aca="false">H25+H26</f>
        <v>871862.08</v>
      </c>
      <c r="I27" s="9" t="n">
        <f aca="false">I25+I26</f>
        <v>871862.08</v>
      </c>
      <c r="J27" s="9" t="n">
        <f aca="false">J25+J26</f>
        <v>871862.08</v>
      </c>
      <c r="K27" s="9" t="n">
        <f aca="false">K25+K26</f>
        <v>871862.08</v>
      </c>
      <c r="L27" s="9" t="n">
        <f aca="false">L25+L26</f>
        <v>871862.08</v>
      </c>
      <c r="M27" s="9" t="n">
        <f aca="false">M25+M26</f>
        <v>871862.08</v>
      </c>
      <c r="N27" s="9" t="n">
        <f aca="false">N25+N26</f>
        <v>871862.08</v>
      </c>
      <c r="O27" s="9" t="n">
        <f aca="false">O25+O26</f>
        <v>871862.08</v>
      </c>
      <c r="P27" s="9" t="n">
        <f aca="false">P25+P26</f>
        <v>871862.08</v>
      </c>
      <c r="Q27" s="9" t="n">
        <f aca="false">Q25+Q26</f>
        <v>871862.08</v>
      </c>
      <c r="R27" s="9" t="n">
        <f aca="false">R25+R26</f>
        <v>871862.08</v>
      </c>
      <c r="S27" s="9" t="n">
        <f aca="false">S25+S26</f>
        <v>1039125.52</v>
      </c>
      <c r="T27" s="9" t="n">
        <f aca="false">T25+T26</f>
        <v>1039125.52</v>
      </c>
      <c r="U27" s="9" t="n">
        <f aca="false">U25+U26</f>
        <v>1039125.52</v>
      </c>
      <c r="V27" s="9" t="n">
        <f aca="false">V25+V26</f>
        <v>1039125.52</v>
      </c>
      <c r="W27" s="9" t="n">
        <f aca="false">W25+W26</f>
        <v>1039125.52</v>
      </c>
      <c r="X27" s="9" t="n">
        <f aca="false">X25+X26</f>
        <v>1039125.52</v>
      </c>
      <c r="Y27" s="9" t="n">
        <f aca="false">Y25+Y26</f>
        <v>1039125.52</v>
      </c>
      <c r="Z27" s="9" t="n">
        <f aca="false">Z25+Z26</f>
        <v>1039125.52</v>
      </c>
      <c r="AA27" s="9" t="n">
        <f aca="false">AA25+AA26</f>
        <v>1039125.52</v>
      </c>
      <c r="AB27" s="9" t="n">
        <f aca="false">AB25+AB26</f>
        <v>1039125.52</v>
      </c>
      <c r="AC27" s="9" t="n">
        <f aca="false">AC25+AC26</f>
        <v>1039125.52</v>
      </c>
      <c r="AD27" s="9" t="n">
        <f aca="false">AD25+AD26</f>
        <v>1039125.52</v>
      </c>
      <c r="AE27" s="9" t="n">
        <f aca="false">AE25+AE26</f>
        <v>1039125.52</v>
      </c>
      <c r="AF27" s="9" t="n">
        <f aca="false">AF25+AF26</f>
        <v>1039125.52</v>
      </c>
      <c r="AG27" s="9" t="n">
        <f aca="false">AG25+AG26</f>
        <v>1039125.52</v>
      </c>
      <c r="AH27" s="9" t="n">
        <f aca="false">AH25+AH26</f>
        <v>1039125.52</v>
      </c>
      <c r="AI27" s="9" t="n">
        <f aca="false">AI25+AI26</f>
        <v>1039125.52</v>
      </c>
      <c r="AJ27" s="9" t="n">
        <f aca="false">AJ25+AJ26</f>
        <v>1039125.52</v>
      </c>
      <c r="AK27" s="9" t="n">
        <f aca="false">AK25+AK26</f>
        <v>1039125.52</v>
      </c>
      <c r="AL27" s="9" t="n">
        <f aca="false">AL25+AL26</f>
        <v>1039125.52</v>
      </c>
      <c r="AM27" s="9" t="n">
        <f aca="false">AM25+AM26</f>
        <v>1039125.52</v>
      </c>
      <c r="AN27" s="9" t="n">
        <f aca="false">AN25+AN26</f>
        <v>1039125.52</v>
      </c>
      <c r="AO27" s="9" t="n">
        <f aca="false">AO25+AO26</f>
        <v>1039125.52</v>
      </c>
      <c r="AP27" s="9" t="n">
        <f aca="false">AP25+AP26</f>
        <v>1039125.52</v>
      </c>
      <c r="AQ27" s="9" t="n">
        <f aca="false">AQ25+AQ26</f>
        <v>10462344.96</v>
      </c>
      <c r="AR27" s="9" t="n">
        <f aca="false">AR25+AR26</f>
        <v>12469506.24</v>
      </c>
      <c r="AS27" s="9" t="n">
        <f aca="false">AS25+AS26</f>
        <v>12469506.24</v>
      </c>
      <c r="AT27" s="9" t="n">
        <f aca="false">AT25+AT26</f>
        <v>35401357.44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2026-10-05T20:30:12Z</dcterms:created>
  <dc:creator>openpyxl</dc:creator>
  <dc:description/>
  <dc:language>ja-JP</dc:language>
  <cp:lastModifiedBy/>
  <dcterms:modified xsi:type="dcterms:W3CDTF">2026-10-05T20:30:12Z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